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Допущения" sheetId="1" state="visible" r:id="rId1"/>
    <sheet xmlns:r="http://schemas.openxmlformats.org/officeDocument/2006/relationships" name="Эльвира vs Остальные" sheetId="2" state="visible" r:id="rId2"/>
    <sheet xmlns:r="http://schemas.openxmlformats.org/officeDocument/2006/relationships" name="П&amp;Л факт 2026" sheetId="3" state="visible" r:id="rId3"/>
    <sheet xmlns:r="http://schemas.openxmlformats.org/officeDocument/2006/relationships" name="Драйверы YClients" sheetId="4" state="visible" r:id="rId4"/>
    <sheet xmlns:r="http://schemas.openxmlformats.org/officeDocument/2006/relationships" name="Загрузка мастеров" sheetId="5" state="visible" r:id="rId5"/>
    <sheet xmlns:r="http://schemas.openxmlformats.org/officeDocument/2006/relationships" name="Ёмкость клиники" sheetId="6" state="visible" r:id="rId6"/>
    <sheet xmlns:r="http://schemas.openxmlformats.org/officeDocument/2006/relationships" name="ПРОГНОЗ" sheetId="7" state="visible" r:id="rId7"/>
    <sheet xmlns:r="http://schemas.openxmlformats.org/officeDocument/2006/relationships" name="КПИ администраторов" sheetId="8" state="visible" r:id="rId8"/>
    <sheet xmlns:r="http://schemas.openxmlformats.org/officeDocument/2006/relationships" name="КПИ управляющей" sheetId="9" state="visible" r:id="rId9"/>
    <sheet xmlns:r="http://schemas.openxmlformats.org/officeDocument/2006/relationships" name="КПИ мастеров" sheetId="10" state="visible" r:id="rId10"/>
    <sheet xmlns:r="http://schemas.openxmlformats.org/officeDocument/2006/relationships" name="Косметика — методология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₽"/>
    <numFmt numFmtId="165" formatCode="0.0%"/>
    <numFmt numFmtId="166" formatCode="0.0"/>
    <numFmt numFmtId="167" formatCode="[$р.-419]#,##0"/>
  </numFmts>
  <fonts count="22">
    <font>
      <name val="Calibri"/>
      <color theme="1"/>
      <sz val="11"/>
      <scheme val="minor"/>
    </font>
    <font>
      <name val="Calibri"/>
      <b val="1"/>
      <color theme="1"/>
      <sz val="13"/>
    </font>
    <font>
      <name val="Calibri"/>
      <color theme="1"/>
      <sz val="11"/>
    </font>
    <font>
      <name val="Calibri"/>
      <b val="1"/>
      <color rgb="FFFFFFFF"/>
    </font>
    <font>
      <name val="Calibri"/>
      <color theme="1"/>
    </font>
    <font>
      <name val="Calibri"/>
      <b val="1"/>
      <color theme="1"/>
    </font>
    <font>
      <name val="Calibri"/>
      <i val="1"/>
      <color rgb="FF666666"/>
    </font>
    <font>
      <name val="Calibri"/>
      <i val="1"/>
      <color rgb="FF888888"/>
      <sz val="9"/>
    </font>
    <font/>
    <font>
      <name val="Calibri"/>
      <b val="1"/>
      <color theme="1"/>
      <sz val="13"/>
      <scheme val="minor"/>
    </font>
    <font>
      <name val="Calibri"/>
      <b val="1"/>
      <color rgb="FFFFFFFF"/>
      <scheme val="minor"/>
    </font>
    <font>
      <name val="Calibri"/>
      <i val="1"/>
      <color rgb="FF888888"/>
      <sz val="9"/>
      <scheme val="minor"/>
    </font>
    <font>
      <name val="Calibri"/>
      <color rgb="FFFFFFFF"/>
    </font>
    <font>
      <name val="Calibri"/>
      <color rgb="FFFFFFFF"/>
      <sz val="11"/>
    </font>
    <font>
      <name val="Calibri"/>
      <color rgb="FFFF0000"/>
    </font>
    <font>
      <name val="Calibri"/>
      <color rgb="FFFF0000"/>
      <sz val="11"/>
    </font>
    <font>
      <name val="Calibri"/>
      <b val="1"/>
      <color theme="1"/>
      <sz val="11"/>
    </font>
    <font>
      <b val="1"/>
      <sz val="13"/>
    </font>
    <font>
      <b val="1"/>
      <sz val="12"/>
    </font>
    <font>
      <b val="1"/>
      <color rgb="00FFFFFF"/>
    </font>
    <font>
      <b val="1"/>
    </font>
    <font>
      <i val="1"/>
      <color rgb="00888888"/>
      <sz val="9"/>
    </font>
  </fonts>
  <fills count="11">
    <fill>
      <patternFill/>
    </fill>
    <fill>
      <patternFill patternType="lightGray"/>
    </fill>
    <fill>
      <patternFill patternType="solid">
        <fgColor rgb="FF1C3D0F"/>
        <bgColor rgb="FF1C3D0F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F4CCCC"/>
        <bgColor rgb="FFF4CCCC"/>
      </patternFill>
    </fill>
    <fill>
      <patternFill patternType="solid">
        <fgColor rgb="FFB45F06"/>
        <bgColor rgb="FFB45F06"/>
      </patternFill>
    </fill>
    <fill>
      <patternFill patternType="solid">
        <fgColor rgb="FF38761D"/>
        <bgColor rgb="FF38761D"/>
      </patternFill>
    </fill>
    <fill>
      <patternFill patternType="solid">
        <fgColor rgb="FFD9D9D9"/>
        <bgColor rgb="FFD9D9D9"/>
      </patternFill>
    </fill>
    <fill>
      <patternFill patternType="solid">
        <fgColor rgb="001C3D0F"/>
      </patternFill>
    </fill>
    <fill>
      <patternFill patternType="solid">
        <fgColor rgb="00FFF2CC"/>
      </patternFill>
    </fill>
  </fills>
  <borders count="19">
    <border/>
    <border>
      <left/>
      <right/>
      <top/>
      <bottom/>
    </border>
    <border>
      <bottom style="thin">
        <color rgb="FF000000"/>
      </bottom>
    </border>
    <border>
      <left/>
      <right/>
      <bottom/>
    </border>
    <border>
      <top style="thin">
        <color rgb="FF000000"/>
      </top>
    </border>
    <border>
      <left/>
      <top/>
    </border>
    <border>
      <right/>
      <top/>
    </border>
    <border>
      <left/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hair">
        <color rgb="FF000000"/>
      </bottom>
    </border>
    <border>
      <top style="hair">
        <color rgb="FF000000"/>
      </top>
    </border>
    <border>
      <top style="thin">
        <color rgb="FF000000"/>
      </top>
      <bottom style="thin">
        <color rgb="FF000000"/>
      </bottom>
    </border>
    <border>
      <left/>
      <right/>
      <top/>
    </border>
  </borders>
  <cellStyleXfs count="1">
    <xf numFmtId="0" fontId="0" fillId="0" borderId="0"/>
  </cellStyleXfs>
  <cellXfs count="15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2" borderId="1" pivotButton="0" quotePrefix="0" xfId="0"/>
    <xf numFmtId="0" fontId="4" fillId="0" borderId="0" applyAlignment="1" pivotButton="0" quotePrefix="0" xfId="0">
      <alignment vertical="center" wrapText="1"/>
    </xf>
    <xf numFmtId="0" fontId="4" fillId="0" borderId="0" pivotButton="0" quotePrefix="0" xfId="0"/>
    <xf numFmtId="164" fontId="2" fillId="0" borderId="0" pivotButton="0" quotePrefix="0" xfId="0"/>
    <xf numFmtId="164" fontId="5" fillId="3" borderId="1" pivotButton="0" quotePrefix="0" xfId="0"/>
    <xf numFmtId="0" fontId="3" fillId="2" borderId="1" applyAlignment="1" pivotButton="0" quotePrefix="0" xfId="0">
      <alignment vertical="center" wrapText="1"/>
    </xf>
    <xf numFmtId="0" fontId="6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3" fontId="2" fillId="0" borderId="0" applyAlignment="1" pivotButton="0" quotePrefix="0" xfId="0">
      <alignment vertical="center" wrapText="1"/>
    </xf>
    <xf numFmtId="165" fontId="5" fillId="3" borderId="1" pivotButton="0" quotePrefix="0" xfId="0"/>
    <xf numFmtId="165" fontId="2" fillId="0" borderId="0" pivotButton="0" quotePrefix="0" xfId="0"/>
    <xf numFmtId="3" fontId="2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vertical="center" wrapText="1"/>
    </xf>
    <xf numFmtId="0" fontId="7" fillId="0" borderId="0" pivotButton="0" quotePrefix="0" xfId="0"/>
    <xf numFmtId="0" fontId="6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  <xf numFmtId="165" fontId="2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10" fontId="4" fillId="0" borderId="0" applyAlignment="1" pivotButton="0" quotePrefix="0" xfId="0">
      <alignment vertical="center" wrapText="1"/>
    </xf>
    <xf numFmtId="10" fontId="3" fillId="2" borderId="1" applyAlignment="1" pivotButton="0" quotePrefix="0" xfId="0">
      <alignment vertical="center" wrapText="1"/>
    </xf>
    <xf numFmtId="166" fontId="2" fillId="0" borderId="0" applyAlignment="1" pivotButton="0" quotePrefix="0" xfId="0">
      <alignment vertical="center" wrapText="1"/>
    </xf>
    <xf numFmtId="165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166" fontId="2" fillId="0" borderId="2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165" fontId="2" fillId="0" borderId="2" applyAlignment="1" pivotButton="0" quotePrefix="0" xfId="0">
      <alignment vertical="center" wrapText="1"/>
    </xf>
    <xf numFmtId="0" fontId="5" fillId="3" borderId="0" applyAlignment="1" pivotButton="0" quotePrefix="0" xfId="0">
      <alignment vertical="center"/>
    </xf>
    <xf numFmtId="0" fontId="8" fillId="0" borderId="2" pivotButton="0" quotePrefix="0" xfId="0"/>
    <xf numFmtId="10" fontId="4" fillId="0" borderId="2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166" fontId="2" fillId="4" borderId="3" applyAlignment="1" pivotButton="0" quotePrefix="0" xfId="0">
      <alignment vertical="center" wrapText="1"/>
    </xf>
    <xf numFmtId="165" fontId="2" fillId="4" borderId="3" applyAlignment="1" pivotButton="0" quotePrefix="0" xfId="0">
      <alignment vertical="center" wrapText="1"/>
    </xf>
    <xf numFmtId="3" fontId="2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 wrapText="1"/>
    </xf>
    <xf numFmtId="166" fontId="2" fillId="0" borderId="4" applyAlignment="1" pivotButton="0" quotePrefix="0" xfId="0">
      <alignment vertical="center" wrapText="1"/>
    </xf>
    <xf numFmtId="165" fontId="2" fillId="0" borderId="4" applyAlignment="1" pivotButton="0" quotePrefix="0" xfId="0">
      <alignment vertical="center" wrapText="1"/>
    </xf>
    <xf numFmtId="165" fontId="4" fillId="0" borderId="4" applyAlignment="1" pivotButton="0" quotePrefix="0" xfId="0">
      <alignment horizontal="center" vertical="center" wrapText="1"/>
    </xf>
    <xf numFmtId="10" fontId="4" fillId="0" borderId="4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66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2" borderId="0" applyAlignment="1" pivotButton="0" quotePrefix="0" xfId="0">
      <alignment vertical="center" wrapText="1"/>
    </xf>
    <xf numFmtId="0" fontId="10" fillId="2" borderId="0" applyAlignment="1" pivotButton="0" quotePrefix="0" xfId="0">
      <alignment horizontal="center" vertical="center" wrapText="1"/>
    </xf>
    <xf numFmtId="1" fontId="2" fillId="0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164" fontId="2" fillId="5" borderId="0" applyAlignment="1" pivotButton="0" quotePrefix="0" xfId="0">
      <alignment vertical="center"/>
    </xf>
    <xf numFmtId="166" fontId="2" fillId="5" borderId="0" applyAlignment="1" pivotButton="0" quotePrefix="0" xfId="0">
      <alignment vertical="center"/>
    </xf>
    <xf numFmtId="1" fontId="2" fillId="5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11" fillId="0" borderId="0" applyAlignment="1" pivotButton="0" quotePrefix="0" xfId="0">
      <alignment vertical="top" wrapText="1"/>
    </xf>
    <xf numFmtId="0" fontId="12" fillId="6" borderId="0" applyAlignment="1" pivotButton="0" quotePrefix="0" xfId="0">
      <alignment vertical="center" wrapText="1"/>
    </xf>
    <xf numFmtId="0" fontId="3" fillId="6" borderId="5" applyAlignment="1" pivotButton="0" quotePrefix="0" xfId="0">
      <alignment vertical="center" wrapText="1"/>
    </xf>
    <xf numFmtId="0" fontId="8" fillId="0" borderId="6" pivotButton="0" quotePrefix="0" xfId="0"/>
    <xf numFmtId="0" fontId="3" fillId="6" borderId="7" applyAlignment="1" pivotButton="0" quotePrefix="0" xfId="0">
      <alignment vertical="center" wrapText="1"/>
    </xf>
    <xf numFmtId="0" fontId="8" fillId="0" borderId="8" pivotButton="0" quotePrefix="0" xfId="0"/>
    <xf numFmtId="0" fontId="4" fillId="0" borderId="9" applyAlignment="1" pivotButton="0" quotePrefix="0" xfId="0">
      <alignment vertical="center" wrapText="1"/>
    </xf>
    <xf numFmtId="164" fontId="2" fillId="0" borderId="10" applyAlignment="1" pivotButton="0" quotePrefix="0" xfId="0">
      <alignment vertical="center" wrapText="1"/>
    </xf>
    <xf numFmtId="164" fontId="2" fillId="3" borderId="10" applyAlignment="1" pivotButton="0" quotePrefix="0" xfId="0">
      <alignment vertical="center" wrapText="1"/>
    </xf>
    <xf numFmtId="0" fontId="4" fillId="0" borderId="11" applyAlignment="1" pivotButton="0" quotePrefix="0" xfId="0">
      <alignment vertical="center" wrapText="1"/>
    </xf>
    <xf numFmtId="164" fontId="4" fillId="0" borderId="12" applyAlignment="1" pivotButton="0" quotePrefix="0" xfId="0">
      <alignment vertical="center" wrapText="1"/>
    </xf>
    <xf numFmtId="164" fontId="4" fillId="3" borderId="12" applyAlignment="1" pivotButton="0" quotePrefix="0" xfId="0">
      <alignment vertical="center" wrapText="1"/>
    </xf>
    <xf numFmtId="164" fontId="2" fillId="0" borderId="12" applyAlignment="1" pivotButton="0" quotePrefix="0" xfId="0">
      <alignment vertical="center" wrapText="1"/>
    </xf>
    <xf numFmtId="164" fontId="4" fillId="3" borderId="12" applyAlignment="1" pivotButton="0" quotePrefix="0" xfId="0">
      <alignment vertical="center" wrapText="1"/>
    </xf>
    <xf numFmtId="0" fontId="4" fillId="0" borderId="13" applyAlignment="1" pivotButton="0" quotePrefix="0" xfId="0">
      <alignment vertical="center" wrapText="1"/>
    </xf>
    <xf numFmtId="0" fontId="4" fillId="0" borderId="14" applyAlignment="1" pivotButton="0" quotePrefix="0" xfId="0">
      <alignment vertical="center" wrapText="1"/>
    </xf>
    <xf numFmtId="0" fontId="4" fillId="3" borderId="14" applyAlignment="1" pivotButton="0" quotePrefix="0" xfId="0">
      <alignment vertical="center" wrapText="1"/>
    </xf>
    <xf numFmtId="0" fontId="5" fillId="0" borderId="0" applyAlignment="1" pivotButton="0" quotePrefix="0" xfId="0">
      <alignment horizontal="right" vertical="center" wrapText="1"/>
    </xf>
    <xf numFmtId="0" fontId="3" fillId="7" borderId="0" applyAlignment="1" pivotButton="0" quotePrefix="0" xfId="0">
      <alignment vertical="center" wrapText="1"/>
    </xf>
    <xf numFmtId="164" fontId="13" fillId="7" borderId="0" applyAlignment="1" pivotButton="0" quotePrefix="0" xfId="0">
      <alignment vertical="center" wrapText="1"/>
    </xf>
    <xf numFmtId="165" fontId="13" fillId="7" borderId="0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164" fontId="2" fillId="8" borderId="0" applyAlignment="1" pivotButton="0" quotePrefix="0" xfId="0">
      <alignment vertical="center" wrapText="1"/>
    </xf>
    <xf numFmtId="165" fontId="2" fillId="8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164" fontId="15" fillId="0" borderId="0" applyAlignment="1" pivotButton="0" quotePrefix="0" xfId="0">
      <alignment vertical="center" wrapText="1"/>
    </xf>
    <xf numFmtId="165" fontId="15" fillId="0" borderId="0" applyAlignment="1" pivotButton="0" quotePrefix="0" xfId="0">
      <alignment vertical="center" wrapText="1"/>
    </xf>
    <xf numFmtId="164" fontId="15" fillId="3" borderId="1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4" fontId="2" fillId="3" borderId="0" applyAlignment="1" pivotButton="0" quotePrefix="0" xfId="0">
      <alignment vertical="center" wrapText="1"/>
    </xf>
    <xf numFmtId="16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vertical="center" wrapText="1"/>
    </xf>
    <xf numFmtId="164" fontId="2" fillId="3" borderId="0" applyAlignment="1" pivotButton="0" quotePrefix="0" xfId="0">
      <alignment vertical="center" wrapText="1"/>
    </xf>
    <xf numFmtId="167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 wrapText="1"/>
    </xf>
    <xf numFmtId="165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4" fillId="0" borderId="15" applyAlignment="1" pivotButton="0" quotePrefix="0" xfId="0">
      <alignment vertical="center" wrapText="1"/>
    </xf>
    <xf numFmtId="0" fontId="2" fillId="3" borderId="15" applyAlignment="1" pivotButton="0" quotePrefix="0" xfId="0">
      <alignment horizontal="center" vertical="center" wrapText="1"/>
    </xf>
    <xf numFmtId="164" fontId="2" fillId="0" borderId="15" applyAlignment="1" pivotButton="0" quotePrefix="0" xfId="0">
      <alignment vertical="center" wrapText="1"/>
    </xf>
    <xf numFmtId="0" fontId="8" fillId="0" borderId="15" pivotButton="0" quotePrefix="0" xfId="0"/>
    <xf numFmtId="0" fontId="2" fillId="3" borderId="15" applyAlignment="1" pivotButton="0" quotePrefix="0" xfId="0">
      <alignment vertical="center" wrapText="1"/>
    </xf>
    <xf numFmtId="164" fontId="5" fillId="0" borderId="15" applyAlignment="1" pivotButton="0" quotePrefix="0" xfId="0">
      <alignment vertical="center" wrapText="1"/>
    </xf>
    <xf numFmtId="164" fontId="5" fillId="0" borderId="16" applyAlignment="1" pivotButton="0" quotePrefix="0" xfId="0">
      <alignment vertical="center" wrapText="1"/>
    </xf>
    <xf numFmtId="0" fontId="16" fillId="0" borderId="0" applyAlignment="1" pivotButton="0" quotePrefix="0" xfId="0">
      <alignment horizontal="right" vertical="center" wrapText="1"/>
    </xf>
    <xf numFmtId="167" fontId="2" fillId="0" borderId="0" applyAlignment="1" pivotButton="0" quotePrefix="0" xfId="0">
      <alignment vertical="center" wrapText="1"/>
    </xf>
    <xf numFmtId="10" fontId="2" fillId="0" borderId="0" applyAlignment="1" pivotButton="0" quotePrefix="0" xfId="0">
      <alignment vertical="center" wrapText="1"/>
    </xf>
    <xf numFmtId="165" fontId="2" fillId="3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right" vertical="center" wrapText="1"/>
    </xf>
    <xf numFmtId="167" fontId="4" fillId="0" borderId="0" applyAlignment="1" pivotButton="0" quotePrefix="0" xfId="0">
      <alignment vertical="center" wrapText="1"/>
    </xf>
    <xf numFmtId="165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164" fontId="2" fillId="0" borderId="16" applyAlignment="1" pivotButton="0" quotePrefix="0" xfId="0">
      <alignment vertical="center"/>
    </xf>
    <xf numFmtId="0" fontId="2" fillId="3" borderId="16" applyAlignment="1" pivotButton="0" quotePrefix="0" xfId="0">
      <alignment vertical="center"/>
    </xf>
    <xf numFmtId="164" fontId="5" fillId="0" borderId="16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164" fontId="2" fillId="0" borderId="15" applyAlignment="1" pivotButton="0" quotePrefix="0" xfId="0">
      <alignment vertical="center"/>
    </xf>
    <xf numFmtId="0" fontId="2" fillId="3" borderId="15" applyAlignment="1" pivotButton="0" quotePrefix="0" xfId="0">
      <alignment vertical="center"/>
    </xf>
    <xf numFmtId="164" fontId="5" fillId="0" borderId="15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  <xf numFmtId="165" fontId="4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165" fontId="4" fillId="0" borderId="17" applyAlignment="1" pivotButton="0" quotePrefix="0" xfId="0">
      <alignment horizontal="center" vertical="center" wrapText="1"/>
    </xf>
    <xf numFmtId="0" fontId="3" fillId="6" borderId="18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9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164" fontId="20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top" wrapText="1"/>
    </xf>
    <xf numFmtId="165" fontId="2" fillId="3" borderId="15" applyAlignment="1" pivotButton="0" quotePrefix="0" xfId="0">
      <alignment vertical="center" wrapText="1"/>
    </xf>
    <xf numFmtId="0" fontId="0" fillId="0" borderId="15" pivotButton="0" quotePrefix="0" xfId="0"/>
    <xf numFmtId="164" fontId="4" fillId="10" borderId="0" applyAlignment="1" pivotButton="0" quotePrefix="0" xfId="0">
      <alignment vertical="center" wrapText="1"/>
    </xf>
    <xf numFmtId="0" fontId="8" fillId="0" borderId="0" pivotButton="0" quotePrefix="0" xfId="0"/>
    <xf numFmtId="164" fontId="8" fillId="0" borderId="0" pivotButton="0" quotePrefix="0" xfId="0"/>
    <xf numFmtId="165" fontId="8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 outlineLevelRow="1"/>
  <cols>
    <col width="50" customWidth="1" style="134" min="1" max="1"/>
    <col width="14" customWidth="1" style="134" min="2" max="2"/>
    <col width="10" customWidth="1" style="134" min="3" max="3"/>
    <col width="78" customWidth="1" style="134" min="4" max="4"/>
    <col width="8.710000000000001" customWidth="1" style="134" min="5" max="6"/>
  </cols>
  <sheetData>
    <row r="1">
      <c r="A1" s="1" t="inlineStr">
        <is>
          <t>ДОПУЩЕНИЯ МОДЕЛИ — меняй жёлтые ячейки, всё остальное пересчитается само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4" t="inlineStr">
        <is>
          <t>Параметр</t>
        </is>
      </c>
      <c r="B3" s="4" t="inlineStr">
        <is>
          <t>Значение</t>
        </is>
      </c>
      <c r="C3" s="4" t="inlineStr">
        <is>
          <t>Ед.</t>
        </is>
      </c>
      <c r="D3" s="4" t="inlineStr">
        <is>
          <t>Комментарий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6" t="inlineStr">
        <is>
          <t>Целевая выручка клиники</t>
        </is>
      </c>
      <c r="B4" s="8" t="n">
        <v>2300000</v>
      </c>
      <c r="C4" s="6" t="inlineStr">
        <is>
          <t>₽/мес</t>
        </is>
      </c>
      <c r="D4" s="6" t="inlineStr">
        <is>
          <t>Настина цель: держать примерно на этом уровне, но за счёт другого состава — меньше Эльвиры, больше остальных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6" t="inlineStr">
        <is>
          <t>База выручки — Остальные мастера (среднее июнь-июль)</t>
        </is>
      </c>
      <c r="B5" s="8" t="n">
        <v>960140</v>
      </c>
      <c r="C5" s="6" t="inlineStr">
        <is>
          <t>₽/мес</t>
        </is>
      </c>
      <c r="D5" s="6" t="inlineStr">
        <is>
          <t>От этой базы считается рост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6" t="inlineStr">
        <is>
          <t>Рост — Остальные, Сценарий А (медленный)</t>
        </is>
      </c>
      <c r="B6" s="14" t="n">
        <v>0.1</v>
      </c>
      <c r="C6" s="6" t="inlineStr">
        <is>
          <t>%/мес</t>
        </is>
      </c>
      <c r="D6" s="6" t="inlineStr">
        <is>
          <t>Настин ориентир: 10-20% в месяц — нижняя граница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6" t="inlineStr">
        <is>
          <t>Рост — Остальные, Сценарий Б (быстрый)</t>
        </is>
      </c>
      <c r="B7" s="14" t="n">
        <v>0.2</v>
      </c>
      <c r="C7" s="6" t="inlineStr">
        <is>
          <t>%/мес</t>
        </is>
      </c>
      <c r="D7" s="6" t="inlineStr">
        <is>
          <t>Настин ориентир: 10-20% в месяц — верхняя граница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6" t="inlineStr">
        <is>
          <t>Переменные расходы, % от выручки</t>
        </is>
      </c>
      <c r="B8" s="14" t="n">
        <v>0.493</v>
      </c>
      <c r="C8" s="6" t="inlineStr">
        <is>
          <t>%</t>
        </is>
      </c>
      <c r="D8" s="6" t="inlineStr">
        <is>
          <t>Среднее «Прямые расходы» / Выручка за июнь-июль из твоего П&amp;Л (материалы + ЗП мастеров)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6" t="inlineStr">
        <is>
          <t>Постоянные расходы</t>
        </is>
      </c>
      <c r="B9" s="8" t="n">
        <v>724000</v>
      </c>
      <c r="C9" s="6" t="inlineStr">
        <is>
          <t>₽/мес</t>
        </is>
      </c>
      <c r="D9" s="6" t="inlineStr">
        <is>
          <t>«Косвенные расходы» июнь-июль БЕЗ закупки косметики (аренда, ФОТ офиса, IT, банк/налоги)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6" t="inlineStr">
        <is>
          <t>Закупка косметики на продажу (сглажено)</t>
        </is>
      </c>
      <c r="B10" s="8" t="n">
        <v>134438</v>
      </c>
      <c r="C10" s="6" t="inlineStr">
        <is>
          <t>₽/мес</t>
        </is>
      </c>
      <c r="D10" s="6" t="inlineStr">
        <is>
          <t>(Сумма закупок янв-авг) / 8 — временное решение, см. лист «Косметика — методология»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34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34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34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3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34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34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34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34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34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34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34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34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34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34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34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34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34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34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34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34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34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34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3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34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34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34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34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34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34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34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34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34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3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34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34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34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34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34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34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34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34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34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3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34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34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34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34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34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34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34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34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34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3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34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34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34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34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34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34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34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34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34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3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34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34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34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34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34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34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34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34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34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3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34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34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34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34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34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34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34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34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34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3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34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34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34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34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34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34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34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34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34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3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34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34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34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34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34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34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34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34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34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3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34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34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34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34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34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34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34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34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34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34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34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34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34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34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34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34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34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34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3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34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34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34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34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34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34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34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34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34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3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34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34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34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34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34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34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34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34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34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3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34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34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34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34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34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34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34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34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34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3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34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34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34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34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34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34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34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34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34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3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34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34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34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34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34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34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34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34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34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3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34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34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34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34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34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34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34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34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34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3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34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34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34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34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34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34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34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34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34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3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34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34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34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34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34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34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34">
      <c r="A221" s="2" t="n"/>
      <c r="B221" s="2" t="n"/>
      <c r="C221" s="2" t="n"/>
      <c r="D221" s="2" t="n"/>
      <c r="E221" s="2" t="n"/>
      <c r="F221" s="2" t="n"/>
    </row>
    <row r="222" ht="15.75" customHeight="1" s="134">
      <c r="A222" s="2" t="n"/>
      <c r="B222" s="2" t="n"/>
      <c r="C222" s="2" t="n"/>
      <c r="D222" s="2" t="n"/>
      <c r="E222" s="2" t="n"/>
      <c r="F222" s="2" t="n"/>
    </row>
    <row r="223" ht="15.75" customHeight="1" s="134">
      <c r="A223" s="2" t="n"/>
      <c r="B223" s="2" t="n"/>
      <c r="C223" s="2" t="n"/>
      <c r="D223" s="2" t="n"/>
      <c r="E223" s="2" t="n"/>
      <c r="F223" s="2" t="n"/>
    </row>
    <row r="224" ht="15.75" customHeight="1" s="134">
      <c r="A224" s="2" t="n"/>
      <c r="B224" s="2" t="n"/>
      <c r="C224" s="2" t="n"/>
      <c r="D224" s="2" t="n"/>
      <c r="E224" s="2" t="n"/>
      <c r="F224" s="2" t="n"/>
    </row>
    <row r="225" ht="15.75" customHeight="1" s="134">
      <c r="A225" s="2" t="n"/>
      <c r="B225" s="2" t="n"/>
      <c r="C225" s="2" t="n"/>
      <c r="D225" s="2" t="n"/>
      <c r="E225" s="2" t="n"/>
      <c r="F225" s="2" t="n"/>
    </row>
    <row r="226" ht="15.75" customHeight="1" s="134">
      <c r="A226" s="2" t="n"/>
      <c r="B226" s="2" t="n"/>
      <c r="C226" s="2" t="n"/>
      <c r="D226" s="2" t="n"/>
      <c r="E226" s="2" t="n"/>
      <c r="F226" s="2" t="n"/>
    </row>
    <row r="227" ht="15.75" customHeight="1" s="134">
      <c r="A227" s="2" t="n"/>
      <c r="B227" s="2" t="n"/>
      <c r="C227" s="2" t="n"/>
      <c r="D227" s="2" t="n"/>
      <c r="E227" s="2" t="n"/>
      <c r="F227" s="2" t="n"/>
    </row>
    <row r="228" ht="15.75" customHeight="1" s="134">
      <c r="A228" s="2" t="n"/>
      <c r="B228" s="2" t="n"/>
      <c r="C228" s="2" t="n"/>
      <c r="D228" s="2" t="n"/>
      <c r="E228" s="2" t="n"/>
      <c r="F228" s="2" t="n"/>
    </row>
    <row r="229" ht="15.75" customHeight="1" s="134">
      <c r="A229" s="2" t="n"/>
      <c r="B229" s="2" t="n"/>
      <c r="C229" s="2" t="n"/>
      <c r="D229" s="2" t="n"/>
      <c r="E229" s="2" t="n"/>
      <c r="F229" s="2" t="n"/>
    </row>
    <row r="230" ht="15.75" customHeight="1" s="134">
      <c r="A230" s="2" t="n"/>
      <c r="B230" s="2" t="n"/>
      <c r="C230" s="2" t="n"/>
      <c r="D230" s="2" t="n"/>
      <c r="E230" s="2" t="n"/>
      <c r="F230" s="2" t="n"/>
    </row>
    <row r="231" ht="15.75" customHeight="1" s="134">
      <c r="A231" s="2" t="n"/>
      <c r="B231" s="2" t="n"/>
      <c r="C231" s="2" t="n"/>
      <c r="D231" s="2" t="n"/>
      <c r="E231" s="2" t="n"/>
      <c r="F231" s="2" t="n"/>
    </row>
    <row r="232" ht="15.75" customHeight="1" s="134">
      <c r="A232" s="2" t="n"/>
      <c r="B232" s="2" t="n"/>
      <c r="C232" s="2" t="n"/>
      <c r="D232" s="2" t="n"/>
      <c r="E232" s="2" t="n"/>
      <c r="F232" s="2" t="n"/>
    </row>
    <row r="233" ht="15.75" customHeight="1" s="134">
      <c r="A233" s="2" t="n"/>
      <c r="B233" s="2" t="n"/>
      <c r="C233" s="2" t="n"/>
      <c r="D233" s="2" t="n"/>
      <c r="E233" s="2" t="n"/>
      <c r="F233" s="2" t="n"/>
    </row>
    <row r="234" ht="15.75" customHeight="1" s="134">
      <c r="A234" s="2" t="n"/>
      <c r="B234" s="2" t="n"/>
      <c r="C234" s="2" t="n"/>
      <c r="D234" s="2" t="n"/>
      <c r="E234" s="2" t="n"/>
      <c r="F234" s="2" t="n"/>
    </row>
    <row r="235" ht="15.75" customHeight="1" s="134">
      <c r="A235" s="2" t="n"/>
      <c r="B235" s="2" t="n"/>
      <c r="C235" s="2" t="n"/>
      <c r="D235" s="2" t="n"/>
      <c r="E235" s="2" t="n"/>
      <c r="F235" s="2" t="n"/>
    </row>
    <row r="236" ht="15.75" customHeight="1" s="134">
      <c r="A236" s="2" t="n"/>
      <c r="B236" s="2" t="n"/>
      <c r="C236" s="2" t="n"/>
      <c r="D236" s="2" t="n"/>
      <c r="E236" s="2" t="n"/>
      <c r="F236" s="2" t="n"/>
    </row>
    <row r="237" ht="15.75" customHeight="1" s="134">
      <c r="A237" s="2" t="n"/>
      <c r="B237" s="2" t="n"/>
      <c r="C237" s="2" t="n"/>
      <c r="D237" s="2" t="n"/>
      <c r="E237" s="2" t="n"/>
      <c r="F237" s="2" t="n"/>
    </row>
    <row r="238" ht="15.75" customHeight="1" s="134">
      <c r="A238" s="2" t="n"/>
      <c r="B238" s="2" t="n"/>
      <c r="C238" s="2" t="n"/>
      <c r="D238" s="2" t="n"/>
      <c r="E238" s="2" t="n"/>
      <c r="F238" s="2" t="n"/>
    </row>
    <row r="239" ht="15.75" customHeight="1" s="134">
      <c r="A239" s="2" t="n"/>
      <c r="B239" s="2" t="n"/>
      <c r="C239" s="2" t="n"/>
      <c r="D239" s="2" t="n"/>
      <c r="E239" s="2" t="n"/>
      <c r="F239" s="2" t="n"/>
    </row>
    <row r="240" ht="15.75" customHeight="1" s="134">
      <c r="A240" s="2" t="n"/>
      <c r="B240" s="2" t="n"/>
      <c r="C240" s="2" t="n"/>
      <c r="D240" s="2" t="n"/>
      <c r="E240" s="2" t="n"/>
      <c r="F240" s="2" t="n"/>
    </row>
    <row r="241" ht="15.75" customHeight="1" s="134">
      <c r="A241" s="2" t="n"/>
      <c r="B241" s="2" t="n"/>
      <c r="C241" s="2" t="n"/>
      <c r="D241" s="2" t="n"/>
      <c r="E241" s="2" t="n"/>
      <c r="F241" s="2" t="n"/>
    </row>
    <row r="242" ht="15.75" customHeight="1" s="134">
      <c r="A242" s="2" t="n"/>
      <c r="B242" s="2" t="n"/>
      <c r="C242" s="2" t="n"/>
      <c r="D242" s="2" t="n"/>
      <c r="E242" s="2" t="n"/>
      <c r="F242" s="2" t="n"/>
    </row>
    <row r="243" ht="15.75" customHeight="1" s="134">
      <c r="A243" s="2" t="n"/>
      <c r="B243" s="2" t="n"/>
      <c r="C243" s="2" t="n"/>
      <c r="D243" s="2" t="n"/>
      <c r="E243" s="2" t="n"/>
      <c r="F243" s="2" t="n"/>
    </row>
    <row r="244" ht="15.75" customHeight="1" s="134">
      <c r="A244" s="2" t="n"/>
      <c r="B244" s="2" t="n"/>
      <c r="C244" s="2" t="n"/>
      <c r="D244" s="2" t="n"/>
      <c r="E244" s="2" t="n"/>
      <c r="F244" s="2" t="n"/>
    </row>
    <row r="245" ht="15.75" customHeight="1" s="134">
      <c r="A245" s="2" t="n"/>
      <c r="B245" s="2" t="n"/>
      <c r="C245" s="2" t="n"/>
      <c r="D245" s="2" t="n"/>
      <c r="E245" s="2" t="n"/>
      <c r="F245" s="2" t="n"/>
    </row>
    <row r="246" ht="15.75" customHeight="1" s="134">
      <c r="A246" s="2" t="n"/>
      <c r="B246" s="2" t="n"/>
      <c r="C246" s="2" t="n"/>
      <c r="D246" s="2" t="n"/>
      <c r="E246" s="2" t="n"/>
      <c r="F246" s="2" t="n"/>
    </row>
    <row r="247" ht="15.75" customHeight="1" s="134">
      <c r="A247" s="2" t="n"/>
      <c r="B247" s="2" t="n"/>
      <c r="C247" s="2" t="n"/>
      <c r="D247" s="2" t="n"/>
      <c r="E247" s="2" t="n"/>
      <c r="F247" s="2" t="n"/>
    </row>
    <row r="248" ht="15.75" customHeight="1" s="134">
      <c r="A248" s="2" t="n"/>
      <c r="B248" s="2" t="n"/>
      <c r="C248" s="2" t="n"/>
      <c r="D248" s="2" t="n"/>
      <c r="E248" s="2" t="n"/>
      <c r="F248" s="2" t="n"/>
    </row>
    <row r="249" ht="15.75" customHeight="1" s="134">
      <c r="A249" s="2" t="n"/>
      <c r="B249" s="2" t="n"/>
      <c r="C249" s="2" t="n"/>
      <c r="D249" s="2" t="n"/>
      <c r="E249" s="2" t="n"/>
      <c r="F249" s="2" t="n"/>
    </row>
    <row r="250" ht="15.75" customHeight="1" s="134">
      <c r="A250" s="2" t="n"/>
      <c r="B250" s="2" t="n"/>
      <c r="C250" s="2" t="n"/>
      <c r="D250" s="2" t="n"/>
      <c r="E250" s="2" t="n"/>
      <c r="F250" s="2" t="n"/>
    </row>
    <row r="251" ht="15.75" customHeight="1" s="134">
      <c r="A251" s="2" t="n"/>
      <c r="B251" s="2" t="n"/>
      <c r="C251" s="2" t="n"/>
      <c r="D251" s="2" t="n"/>
      <c r="E251" s="2" t="n"/>
      <c r="F251" s="2" t="n"/>
    </row>
    <row r="252" ht="15.75" customHeight="1" s="134">
      <c r="A252" s="2" t="n"/>
      <c r="B252" s="2" t="n"/>
      <c r="C252" s="2" t="n"/>
      <c r="D252" s="2" t="n"/>
      <c r="E252" s="2" t="n"/>
      <c r="F252" s="2" t="n"/>
    </row>
    <row r="253" ht="15.75" customHeight="1" s="134">
      <c r="A253" s="2" t="n"/>
      <c r="B253" s="2" t="n"/>
      <c r="C253" s="2" t="n"/>
      <c r="D253" s="2" t="n"/>
      <c r="E253" s="2" t="n"/>
      <c r="F253" s="2" t="n"/>
    </row>
    <row r="254" ht="15.75" customHeight="1" s="134">
      <c r="A254" s="2" t="n"/>
      <c r="B254" s="2" t="n"/>
      <c r="C254" s="2" t="n"/>
      <c r="D254" s="2" t="n"/>
      <c r="E254" s="2" t="n"/>
      <c r="F254" s="2" t="n"/>
    </row>
    <row r="255" ht="15.75" customHeight="1" s="134">
      <c r="A255" s="2" t="n"/>
      <c r="B255" s="2" t="n"/>
      <c r="C255" s="2" t="n"/>
      <c r="D255" s="2" t="n"/>
      <c r="E255" s="2" t="n"/>
      <c r="F255" s="2" t="n"/>
    </row>
    <row r="256" ht="15.75" customHeight="1" s="134">
      <c r="A256" s="2" t="n"/>
      <c r="B256" s="2" t="n"/>
      <c r="C256" s="2" t="n"/>
      <c r="D256" s="2" t="n"/>
      <c r="E256" s="2" t="n"/>
      <c r="F256" s="2" t="n"/>
    </row>
    <row r="257" ht="15.75" customHeight="1" s="134">
      <c r="A257" s="2" t="n"/>
      <c r="B257" s="2" t="n"/>
      <c r="C257" s="2" t="n"/>
      <c r="D257" s="2" t="n"/>
      <c r="E257" s="2" t="n"/>
      <c r="F257" s="2" t="n"/>
    </row>
    <row r="258" ht="15.75" customHeight="1" s="134">
      <c r="A258" s="2" t="n"/>
      <c r="B258" s="2" t="n"/>
      <c r="C258" s="2" t="n"/>
      <c r="D258" s="2" t="n"/>
      <c r="E258" s="2" t="n"/>
      <c r="F258" s="2" t="n"/>
    </row>
    <row r="259" ht="15.75" customHeight="1" s="134">
      <c r="A259" s="2" t="n"/>
      <c r="B259" s="2" t="n"/>
      <c r="C259" s="2" t="n"/>
      <c r="D259" s="2" t="n"/>
      <c r="E259" s="2" t="n"/>
      <c r="F259" s="2" t="n"/>
    </row>
    <row r="260" ht="15.75" customHeight="1" s="134">
      <c r="A260" s="2" t="n"/>
      <c r="B260" s="2" t="n"/>
      <c r="C260" s="2" t="n"/>
      <c r="D260" s="2" t="n"/>
      <c r="E260" s="2" t="n"/>
      <c r="F260" s="2" t="n"/>
    </row>
    <row r="261" ht="15.75" customHeight="1" s="134">
      <c r="A261" s="2" t="n"/>
      <c r="B261" s="2" t="n"/>
      <c r="C261" s="2" t="n"/>
      <c r="D261" s="2" t="n"/>
      <c r="E261" s="2" t="n"/>
      <c r="F261" s="2" t="n"/>
    </row>
    <row r="262" ht="15.75" customHeight="1" s="134">
      <c r="A262" s="2" t="n"/>
      <c r="B262" s="2" t="n"/>
      <c r="C262" s="2" t="n"/>
      <c r="D262" s="2" t="n"/>
      <c r="E262" s="2" t="n"/>
      <c r="F262" s="2" t="n"/>
    </row>
    <row r="263" ht="15.75" customHeight="1" s="134">
      <c r="A263" s="2" t="n"/>
      <c r="B263" s="2" t="n"/>
      <c r="C263" s="2" t="n"/>
      <c r="D263" s="2" t="n"/>
      <c r="E263" s="2" t="n"/>
      <c r="F263" s="2" t="n"/>
    </row>
    <row r="264" ht="15.75" customHeight="1" s="134">
      <c r="A264" s="2" t="n"/>
      <c r="B264" s="2" t="n"/>
      <c r="C264" s="2" t="n"/>
      <c r="D264" s="2" t="n"/>
      <c r="E264" s="2" t="n"/>
      <c r="F264" s="2" t="n"/>
    </row>
    <row r="265" ht="15.75" customHeight="1" s="134">
      <c r="A265" s="2" t="n"/>
      <c r="B265" s="2" t="n"/>
      <c r="C265" s="2" t="n"/>
      <c r="D265" s="2" t="n"/>
      <c r="E265" s="2" t="n"/>
      <c r="F265" s="2" t="n"/>
    </row>
    <row r="266" ht="15.75" customHeight="1" s="134">
      <c r="A266" s="2" t="n"/>
      <c r="B266" s="2" t="n"/>
      <c r="C266" s="2" t="n"/>
      <c r="D266" s="2" t="n"/>
      <c r="E266" s="2" t="n"/>
      <c r="F266" s="2" t="n"/>
    </row>
    <row r="267" ht="15.75" customHeight="1" s="134">
      <c r="A267" s="2" t="n"/>
      <c r="B267" s="2" t="n"/>
      <c r="C267" s="2" t="n"/>
      <c r="D267" s="2" t="n"/>
      <c r="E267" s="2" t="n"/>
      <c r="F267" s="2" t="n"/>
    </row>
    <row r="268" ht="15.75" customHeight="1" s="134">
      <c r="A268" s="2" t="n"/>
      <c r="B268" s="2" t="n"/>
      <c r="C268" s="2" t="n"/>
      <c r="D268" s="2" t="n"/>
      <c r="E268" s="2" t="n"/>
      <c r="F268" s="2" t="n"/>
    </row>
    <row r="269" ht="15.75" customHeight="1" s="134">
      <c r="A269" s="2" t="n"/>
      <c r="B269" s="2" t="n"/>
      <c r="C269" s="2" t="n"/>
      <c r="D269" s="2" t="n"/>
      <c r="E269" s="2" t="n"/>
      <c r="F269" s="2" t="n"/>
    </row>
    <row r="270" ht="15.75" customHeight="1" s="134">
      <c r="A270" s="2" t="n"/>
      <c r="B270" s="2" t="n"/>
      <c r="C270" s="2" t="n"/>
      <c r="D270" s="2" t="n"/>
      <c r="E270" s="2" t="n"/>
      <c r="F270" s="2" t="n"/>
    </row>
    <row r="271" ht="15.75" customHeight="1" s="134">
      <c r="A271" s="2" t="n"/>
      <c r="B271" s="2" t="n"/>
      <c r="C271" s="2" t="n"/>
      <c r="D271" s="2" t="n"/>
      <c r="E271" s="2" t="n"/>
      <c r="F271" s="2" t="n"/>
    </row>
    <row r="272" ht="15.75" customHeight="1" s="134">
      <c r="A272" s="2" t="n"/>
      <c r="B272" s="2" t="n"/>
      <c r="C272" s="2" t="n"/>
      <c r="D272" s="2" t="n"/>
      <c r="E272" s="2" t="n"/>
      <c r="F272" s="2" t="n"/>
    </row>
    <row r="273" ht="15.75" customHeight="1" s="134">
      <c r="A273" s="2" t="n"/>
      <c r="B273" s="2" t="n"/>
      <c r="C273" s="2" t="n"/>
      <c r="D273" s="2" t="n"/>
      <c r="E273" s="2" t="n"/>
      <c r="F273" s="2" t="n"/>
    </row>
    <row r="274" ht="15.75" customHeight="1" s="134">
      <c r="A274" s="2" t="n"/>
      <c r="B274" s="2" t="n"/>
      <c r="C274" s="2" t="n"/>
      <c r="D274" s="2" t="n"/>
      <c r="E274" s="2" t="n"/>
      <c r="F274" s="2" t="n"/>
    </row>
    <row r="275" ht="15.75" customHeight="1" s="134">
      <c r="A275" s="2" t="n"/>
      <c r="B275" s="2" t="n"/>
      <c r="C275" s="2" t="n"/>
      <c r="D275" s="2" t="n"/>
      <c r="E275" s="2" t="n"/>
      <c r="F275" s="2" t="n"/>
    </row>
    <row r="276" ht="15.75" customHeight="1" s="134">
      <c r="A276" s="2" t="n"/>
      <c r="B276" s="2" t="n"/>
      <c r="C276" s="2" t="n"/>
      <c r="D276" s="2" t="n"/>
      <c r="E276" s="2" t="n"/>
      <c r="F276" s="2" t="n"/>
    </row>
    <row r="277" ht="15.75" customHeight="1" s="134">
      <c r="A277" s="2" t="n"/>
      <c r="B277" s="2" t="n"/>
      <c r="C277" s="2" t="n"/>
      <c r="D277" s="2" t="n"/>
      <c r="E277" s="2" t="n"/>
      <c r="F277" s="2" t="n"/>
    </row>
    <row r="278" ht="15.75" customHeight="1" s="134">
      <c r="A278" s="2" t="n"/>
      <c r="B278" s="2" t="n"/>
      <c r="C278" s="2" t="n"/>
      <c r="D278" s="2" t="n"/>
      <c r="E278" s="2" t="n"/>
      <c r="F278" s="2" t="n"/>
    </row>
    <row r="279" ht="15.75" customHeight="1" s="134">
      <c r="A279" s="2" t="n"/>
      <c r="B279" s="2" t="n"/>
      <c r="C279" s="2" t="n"/>
      <c r="D279" s="2" t="n"/>
      <c r="E279" s="2" t="n"/>
      <c r="F279" s="2" t="n"/>
    </row>
    <row r="280" ht="15.75" customHeight="1" s="134">
      <c r="A280" s="2" t="n"/>
      <c r="B280" s="2" t="n"/>
      <c r="C280" s="2" t="n"/>
      <c r="D280" s="2" t="n"/>
      <c r="E280" s="2" t="n"/>
      <c r="F280" s="2" t="n"/>
    </row>
    <row r="281" ht="15.75" customHeight="1" s="134">
      <c r="A281" s="2" t="n"/>
      <c r="B281" s="2" t="n"/>
      <c r="C281" s="2" t="n"/>
      <c r="D281" s="2" t="n"/>
      <c r="E281" s="2" t="n"/>
      <c r="F281" s="2" t="n"/>
    </row>
    <row r="282" ht="15.75" customHeight="1" s="134">
      <c r="A282" s="2" t="n"/>
      <c r="B282" s="2" t="n"/>
      <c r="C282" s="2" t="n"/>
      <c r="D282" s="2" t="n"/>
      <c r="E282" s="2" t="n"/>
      <c r="F282" s="2" t="n"/>
    </row>
    <row r="283" ht="15.75" customHeight="1" s="134">
      <c r="A283" s="2" t="n"/>
      <c r="B283" s="2" t="n"/>
      <c r="C283" s="2" t="n"/>
      <c r="D283" s="2" t="n"/>
      <c r="E283" s="2" t="n"/>
      <c r="F283" s="2" t="n"/>
    </row>
    <row r="284" ht="15.75" customHeight="1" s="134">
      <c r="A284" s="2" t="n"/>
      <c r="B284" s="2" t="n"/>
      <c r="C284" s="2" t="n"/>
      <c r="D284" s="2" t="n"/>
      <c r="E284" s="2" t="n"/>
      <c r="F284" s="2" t="n"/>
    </row>
    <row r="285" ht="15.75" customHeight="1" s="134">
      <c r="A285" s="2" t="n"/>
      <c r="B285" s="2" t="n"/>
      <c r="C285" s="2" t="n"/>
      <c r="D285" s="2" t="n"/>
      <c r="E285" s="2" t="n"/>
      <c r="F285" s="2" t="n"/>
    </row>
    <row r="286" ht="15.75" customHeight="1" s="134">
      <c r="A286" s="2" t="n"/>
      <c r="B286" s="2" t="n"/>
      <c r="C286" s="2" t="n"/>
      <c r="D286" s="2" t="n"/>
      <c r="E286" s="2" t="n"/>
      <c r="F286" s="2" t="n"/>
    </row>
    <row r="287" ht="15.75" customHeight="1" s="134">
      <c r="A287" s="2" t="n"/>
      <c r="B287" s="2" t="n"/>
      <c r="C287" s="2" t="n"/>
      <c r="D287" s="2" t="n"/>
      <c r="E287" s="2" t="n"/>
      <c r="F287" s="2" t="n"/>
    </row>
    <row r="288" ht="15.75" customHeight="1" s="134">
      <c r="A288" s="2" t="n"/>
      <c r="B288" s="2" t="n"/>
      <c r="C288" s="2" t="n"/>
      <c r="D288" s="2" t="n"/>
      <c r="E288" s="2" t="n"/>
      <c r="F288" s="2" t="n"/>
    </row>
    <row r="289" ht="15.75" customHeight="1" s="134">
      <c r="A289" s="2" t="n"/>
      <c r="B289" s="2" t="n"/>
      <c r="C289" s="2" t="n"/>
      <c r="D289" s="2" t="n"/>
      <c r="E289" s="2" t="n"/>
      <c r="F289" s="2" t="n"/>
    </row>
    <row r="290" ht="15.75" customHeight="1" s="134">
      <c r="A290" s="2" t="n"/>
      <c r="B290" s="2" t="n"/>
      <c r="C290" s="2" t="n"/>
      <c r="D290" s="2" t="n"/>
      <c r="E290" s="2" t="n"/>
      <c r="F290" s="2" t="n"/>
    </row>
    <row r="291" ht="15.75" customHeight="1" s="134">
      <c r="A291" s="2" t="n"/>
      <c r="B291" s="2" t="n"/>
      <c r="C291" s="2" t="n"/>
      <c r="D291" s="2" t="n"/>
      <c r="E291" s="2" t="n"/>
      <c r="F291" s="2" t="n"/>
    </row>
    <row r="292" ht="15.75" customHeight="1" s="134">
      <c r="A292" s="2" t="n"/>
      <c r="B292" s="2" t="n"/>
      <c r="C292" s="2" t="n"/>
      <c r="D292" s="2" t="n"/>
      <c r="E292" s="2" t="n"/>
      <c r="F292" s="2" t="n"/>
    </row>
    <row r="293" ht="15.75" customHeight="1" s="134">
      <c r="A293" s="2" t="n"/>
      <c r="B293" s="2" t="n"/>
      <c r="C293" s="2" t="n"/>
      <c r="D293" s="2" t="n"/>
      <c r="E293" s="2" t="n"/>
      <c r="F293" s="2" t="n"/>
    </row>
    <row r="294" ht="15.75" customHeight="1" s="134">
      <c r="A294" s="2" t="n"/>
      <c r="B294" s="2" t="n"/>
      <c r="C294" s="2" t="n"/>
      <c r="D294" s="2" t="n"/>
      <c r="E294" s="2" t="n"/>
      <c r="F294" s="2" t="n"/>
    </row>
    <row r="295" ht="15.75" customHeight="1" s="134">
      <c r="A295" s="2" t="n"/>
      <c r="B295" s="2" t="n"/>
      <c r="C295" s="2" t="n"/>
      <c r="D295" s="2" t="n"/>
      <c r="E295" s="2" t="n"/>
      <c r="F295" s="2" t="n"/>
    </row>
    <row r="296" ht="15.75" customHeight="1" s="134">
      <c r="A296" s="2" t="n"/>
      <c r="B296" s="2" t="n"/>
      <c r="C296" s="2" t="n"/>
      <c r="D296" s="2" t="n"/>
      <c r="E296" s="2" t="n"/>
      <c r="F296" s="2" t="n"/>
    </row>
    <row r="297" ht="15.75" customHeight="1" s="134">
      <c r="A297" s="2" t="n"/>
      <c r="B297" s="2" t="n"/>
      <c r="C297" s="2" t="n"/>
      <c r="D297" s="2" t="n"/>
      <c r="E297" s="2" t="n"/>
      <c r="F297" s="2" t="n"/>
    </row>
    <row r="298" ht="15.75" customHeight="1" s="134">
      <c r="A298" s="2" t="n"/>
      <c r="B298" s="2" t="n"/>
      <c r="C298" s="2" t="n"/>
      <c r="D298" s="2" t="n"/>
      <c r="E298" s="2" t="n"/>
      <c r="F298" s="2" t="n"/>
    </row>
    <row r="299" ht="15.75" customHeight="1" s="134">
      <c r="A299" s="2" t="n"/>
      <c r="B299" s="2" t="n"/>
      <c r="C299" s="2" t="n"/>
      <c r="D299" s="2" t="n"/>
      <c r="E299" s="2" t="n"/>
      <c r="F299" s="2" t="n"/>
    </row>
    <row r="300" ht="15.75" customHeight="1" s="134">
      <c r="A300" s="2" t="n"/>
      <c r="B300" s="2" t="n"/>
      <c r="C300" s="2" t="n"/>
      <c r="D300" s="2" t="n"/>
      <c r="E300" s="2" t="n"/>
      <c r="F300" s="2" t="n"/>
    </row>
    <row r="301" ht="15.75" customHeight="1" s="134">
      <c r="A301" s="2" t="n"/>
      <c r="B301" s="2" t="n"/>
      <c r="C301" s="2" t="n"/>
      <c r="D301" s="2" t="n"/>
      <c r="E301" s="2" t="n"/>
      <c r="F301" s="2" t="n"/>
    </row>
    <row r="302" ht="15.75" customHeight="1" s="134">
      <c r="A302" s="2" t="n"/>
      <c r="B302" s="2" t="n"/>
      <c r="C302" s="2" t="n"/>
      <c r="D302" s="2" t="n"/>
      <c r="E302" s="2" t="n"/>
      <c r="F302" s="2" t="n"/>
    </row>
    <row r="303" ht="15.75" customHeight="1" s="134">
      <c r="A303" s="2" t="n"/>
      <c r="B303" s="2" t="n"/>
      <c r="C303" s="2" t="n"/>
      <c r="D303" s="2" t="n"/>
      <c r="E303" s="2" t="n"/>
      <c r="F303" s="2" t="n"/>
    </row>
    <row r="304" ht="15.75" customHeight="1" s="134">
      <c r="A304" s="2" t="n"/>
      <c r="B304" s="2" t="n"/>
      <c r="C304" s="2" t="n"/>
      <c r="D304" s="2" t="n"/>
      <c r="E304" s="2" t="n"/>
      <c r="F304" s="2" t="n"/>
    </row>
    <row r="305" ht="15.75" customHeight="1" s="134">
      <c r="A305" s="2" t="n"/>
      <c r="B305" s="2" t="n"/>
      <c r="C305" s="2" t="n"/>
      <c r="D305" s="2" t="n"/>
      <c r="E305" s="2" t="n"/>
      <c r="F305" s="2" t="n"/>
    </row>
    <row r="306" ht="15.75" customHeight="1" s="134">
      <c r="A306" s="2" t="n"/>
      <c r="B306" s="2" t="n"/>
      <c r="C306" s="2" t="n"/>
      <c r="D306" s="2" t="n"/>
      <c r="E306" s="2" t="n"/>
      <c r="F306" s="2" t="n"/>
    </row>
    <row r="307" ht="15.75" customHeight="1" s="134">
      <c r="A307" s="2" t="n"/>
      <c r="B307" s="2" t="n"/>
      <c r="C307" s="2" t="n"/>
      <c r="D307" s="2" t="n"/>
      <c r="E307" s="2" t="n"/>
      <c r="F307" s="2" t="n"/>
    </row>
    <row r="308" ht="15.75" customHeight="1" s="134">
      <c r="A308" s="2" t="n"/>
      <c r="B308" s="2" t="n"/>
      <c r="C308" s="2" t="n"/>
      <c r="D308" s="2" t="n"/>
      <c r="E308" s="2" t="n"/>
      <c r="F308" s="2" t="n"/>
    </row>
    <row r="309" ht="15.75" customHeight="1" s="134">
      <c r="A309" s="2" t="n"/>
      <c r="B309" s="2" t="n"/>
      <c r="C309" s="2" t="n"/>
      <c r="D309" s="2" t="n"/>
      <c r="E309" s="2" t="n"/>
      <c r="F309" s="2" t="n"/>
    </row>
    <row r="310" ht="15.75" customHeight="1" s="134">
      <c r="A310" s="2" t="n"/>
      <c r="B310" s="2" t="n"/>
      <c r="C310" s="2" t="n"/>
      <c r="D310" s="2" t="n"/>
      <c r="E310" s="2" t="n"/>
      <c r="F310" s="2" t="n"/>
    </row>
    <row r="311" ht="15.75" customHeight="1" s="134">
      <c r="A311" s="2" t="n"/>
      <c r="B311" s="2" t="n"/>
      <c r="C311" s="2" t="n"/>
      <c r="D311" s="2" t="n"/>
      <c r="E311" s="2" t="n"/>
      <c r="F311" s="2" t="n"/>
    </row>
    <row r="312" ht="15.75" customHeight="1" s="134">
      <c r="A312" s="2" t="n"/>
      <c r="B312" s="2" t="n"/>
      <c r="C312" s="2" t="n"/>
      <c r="D312" s="2" t="n"/>
      <c r="E312" s="2" t="n"/>
      <c r="F312" s="2" t="n"/>
    </row>
    <row r="313" ht="15.75" customHeight="1" s="134">
      <c r="A313" s="2" t="n"/>
      <c r="B313" s="2" t="n"/>
      <c r="C313" s="2" t="n"/>
      <c r="D313" s="2" t="n"/>
      <c r="E313" s="2" t="n"/>
      <c r="F313" s="2" t="n"/>
    </row>
    <row r="314" ht="15.75" customHeight="1" s="134">
      <c r="A314" s="2" t="n"/>
      <c r="B314" s="2" t="n"/>
      <c r="C314" s="2" t="n"/>
      <c r="D314" s="2" t="n"/>
      <c r="E314" s="2" t="n"/>
      <c r="F314" s="2" t="n"/>
    </row>
    <row r="315" ht="15.75" customHeight="1" s="134">
      <c r="A315" s="2" t="n"/>
      <c r="B315" s="2" t="n"/>
      <c r="C315" s="2" t="n"/>
      <c r="D315" s="2" t="n"/>
      <c r="E315" s="2" t="n"/>
      <c r="F315" s="2" t="n"/>
    </row>
    <row r="316" ht="15.75" customHeight="1" s="134">
      <c r="A316" s="2" t="n"/>
      <c r="B316" s="2" t="n"/>
      <c r="C316" s="2" t="n"/>
      <c r="D316" s="2" t="n"/>
      <c r="E316" s="2" t="n"/>
      <c r="F316" s="2" t="n"/>
    </row>
    <row r="317" ht="15.75" customHeight="1" s="134">
      <c r="A317" s="2" t="n"/>
      <c r="B317" s="2" t="n"/>
      <c r="C317" s="2" t="n"/>
      <c r="D317" s="2" t="n"/>
      <c r="E317" s="2" t="n"/>
      <c r="F317" s="2" t="n"/>
    </row>
    <row r="318" ht="15.75" customHeight="1" s="134">
      <c r="A318" s="2" t="n"/>
      <c r="B318" s="2" t="n"/>
      <c r="C318" s="2" t="n"/>
      <c r="D318" s="2" t="n"/>
      <c r="E318" s="2" t="n"/>
      <c r="F318" s="2" t="n"/>
    </row>
    <row r="319" ht="15.75" customHeight="1" s="134">
      <c r="A319" s="2" t="n"/>
      <c r="B319" s="2" t="n"/>
      <c r="C319" s="2" t="n"/>
      <c r="D319" s="2" t="n"/>
      <c r="E319" s="2" t="n"/>
      <c r="F319" s="2" t="n"/>
    </row>
    <row r="320" ht="15.75" customHeight="1" s="134">
      <c r="A320" s="2" t="n"/>
      <c r="B320" s="2" t="n"/>
      <c r="C320" s="2" t="n"/>
      <c r="D320" s="2" t="n"/>
      <c r="E320" s="2" t="n"/>
      <c r="F320" s="2" t="n"/>
    </row>
    <row r="321" ht="15.75" customHeight="1" s="134">
      <c r="A321" s="2" t="n"/>
      <c r="B321" s="2" t="n"/>
      <c r="C321" s="2" t="n"/>
      <c r="D321" s="2" t="n"/>
      <c r="E321" s="2" t="n"/>
      <c r="F321" s="2" t="n"/>
    </row>
    <row r="322" ht="15.75" customHeight="1" s="134">
      <c r="A322" s="2" t="n"/>
      <c r="B322" s="2" t="n"/>
      <c r="C322" s="2" t="n"/>
      <c r="D322" s="2" t="n"/>
      <c r="E322" s="2" t="n"/>
      <c r="F322" s="2" t="n"/>
    </row>
    <row r="323" ht="15.75" customHeight="1" s="134">
      <c r="A323" s="2" t="n"/>
      <c r="B323" s="2" t="n"/>
      <c r="C323" s="2" t="n"/>
      <c r="D323" s="2" t="n"/>
      <c r="E323" s="2" t="n"/>
      <c r="F323" s="2" t="n"/>
    </row>
    <row r="324" ht="15.75" customHeight="1" s="134">
      <c r="A324" s="2" t="n"/>
      <c r="B324" s="2" t="n"/>
      <c r="C324" s="2" t="n"/>
      <c r="D324" s="2" t="n"/>
      <c r="E324" s="2" t="n"/>
      <c r="F324" s="2" t="n"/>
    </row>
    <row r="325" ht="15.75" customHeight="1" s="134">
      <c r="A325" s="2" t="n"/>
      <c r="B325" s="2" t="n"/>
      <c r="C325" s="2" t="n"/>
      <c r="D325" s="2" t="n"/>
      <c r="E325" s="2" t="n"/>
      <c r="F325" s="2" t="n"/>
    </row>
    <row r="326" ht="15.75" customHeight="1" s="134">
      <c r="A326" s="2" t="n"/>
      <c r="B326" s="2" t="n"/>
      <c r="C326" s="2" t="n"/>
      <c r="D326" s="2" t="n"/>
      <c r="E326" s="2" t="n"/>
      <c r="F326" s="2" t="n"/>
    </row>
    <row r="327" ht="15.75" customHeight="1" s="134">
      <c r="A327" s="2" t="n"/>
      <c r="B327" s="2" t="n"/>
      <c r="C327" s="2" t="n"/>
      <c r="D327" s="2" t="n"/>
      <c r="E327" s="2" t="n"/>
      <c r="F327" s="2" t="n"/>
    </row>
    <row r="328" ht="15.75" customHeight="1" s="134">
      <c r="A328" s="2" t="n"/>
      <c r="B328" s="2" t="n"/>
      <c r="C328" s="2" t="n"/>
      <c r="D328" s="2" t="n"/>
      <c r="E328" s="2" t="n"/>
      <c r="F328" s="2" t="n"/>
    </row>
    <row r="329" ht="15.75" customHeight="1" s="134">
      <c r="A329" s="2" t="n"/>
      <c r="B329" s="2" t="n"/>
      <c r="C329" s="2" t="n"/>
      <c r="D329" s="2" t="n"/>
      <c r="E329" s="2" t="n"/>
      <c r="F329" s="2" t="n"/>
    </row>
    <row r="330" ht="15.75" customHeight="1" s="134">
      <c r="A330" s="2" t="n"/>
      <c r="B330" s="2" t="n"/>
      <c r="C330" s="2" t="n"/>
      <c r="D330" s="2" t="n"/>
      <c r="E330" s="2" t="n"/>
      <c r="F330" s="2" t="n"/>
    </row>
    <row r="331" ht="15.75" customHeight="1" s="134">
      <c r="A331" s="2" t="n"/>
      <c r="B331" s="2" t="n"/>
      <c r="C331" s="2" t="n"/>
      <c r="D331" s="2" t="n"/>
      <c r="E331" s="2" t="n"/>
      <c r="F331" s="2" t="n"/>
    </row>
    <row r="332" ht="15.75" customHeight="1" s="134">
      <c r="A332" s="2" t="n"/>
      <c r="B332" s="2" t="n"/>
      <c r="C332" s="2" t="n"/>
      <c r="D332" s="2" t="n"/>
      <c r="E332" s="2" t="n"/>
      <c r="F332" s="2" t="n"/>
    </row>
    <row r="333" ht="15.75" customHeight="1" s="134">
      <c r="A333" s="2" t="n"/>
      <c r="B333" s="2" t="n"/>
      <c r="C333" s="2" t="n"/>
      <c r="D333" s="2" t="n"/>
      <c r="E333" s="2" t="n"/>
      <c r="F333" s="2" t="n"/>
    </row>
    <row r="334" ht="15.75" customHeight="1" s="134">
      <c r="A334" s="2" t="n"/>
      <c r="B334" s="2" t="n"/>
      <c r="C334" s="2" t="n"/>
      <c r="D334" s="2" t="n"/>
      <c r="E334" s="2" t="n"/>
      <c r="F334" s="2" t="n"/>
    </row>
    <row r="335" ht="15.75" customHeight="1" s="134">
      <c r="A335" s="2" t="n"/>
      <c r="B335" s="2" t="n"/>
      <c r="C335" s="2" t="n"/>
      <c r="D335" s="2" t="n"/>
      <c r="E335" s="2" t="n"/>
      <c r="F335" s="2" t="n"/>
    </row>
    <row r="336" ht="15.75" customHeight="1" s="134">
      <c r="A336" s="2" t="n"/>
      <c r="B336" s="2" t="n"/>
      <c r="C336" s="2" t="n"/>
      <c r="D336" s="2" t="n"/>
      <c r="E336" s="2" t="n"/>
      <c r="F336" s="2" t="n"/>
    </row>
    <row r="337" ht="15.75" customHeight="1" s="134">
      <c r="A337" s="2" t="n"/>
      <c r="B337" s="2" t="n"/>
      <c r="C337" s="2" t="n"/>
      <c r="D337" s="2" t="n"/>
      <c r="E337" s="2" t="n"/>
      <c r="F337" s="2" t="n"/>
    </row>
    <row r="338" ht="15.75" customHeight="1" s="134">
      <c r="A338" s="2" t="n"/>
      <c r="B338" s="2" t="n"/>
      <c r="C338" s="2" t="n"/>
      <c r="D338" s="2" t="n"/>
      <c r="E338" s="2" t="n"/>
      <c r="F338" s="2" t="n"/>
    </row>
    <row r="339" ht="15.75" customHeight="1" s="134">
      <c r="A339" s="2" t="n"/>
      <c r="B339" s="2" t="n"/>
      <c r="C339" s="2" t="n"/>
      <c r="D339" s="2" t="n"/>
      <c r="E339" s="2" t="n"/>
      <c r="F339" s="2" t="n"/>
    </row>
    <row r="340" ht="15.75" customHeight="1" s="134">
      <c r="A340" s="2" t="n"/>
      <c r="B340" s="2" t="n"/>
      <c r="C340" s="2" t="n"/>
      <c r="D340" s="2" t="n"/>
      <c r="E340" s="2" t="n"/>
      <c r="F340" s="2" t="n"/>
    </row>
    <row r="341" ht="15.75" customHeight="1" s="134">
      <c r="A341" s="2" t="n"/>
      <c r="B341" s="2" t="n"/>
      <c r="C341" s="2" t="n"/>
      <c r="D341" s="2" t="n"/>
      <c r="E341" s="2" t="n"/>
      <c r="F341" s="2" t="n"/>
    </row>
    <row r="342" ht="15.75" customHeight="1" s="134">
      <c r="A342" s="2" t="n"/>
      <c r="B342" s="2" t="n"/>
      <c r="C342" s="2" t="n"/>
      <c r="D342" s="2" t="n"/>
      <c r="E342" s="2" t="n"/>
      <c r="F342" s="2" t="n"/>
    </row>
    <row r="343" ht="15.75" customHeight="1" s="134">
      <c r="A343" s="2" t="n"/>
      <c r="B343" s="2" t="n"/>
      <c r="C343" s="2" t="n"/>
      <c r="D343" s="2" t="n"/>
      <c r="E343" s="2" t="n"/>
      <c r="F343" s="2" t="n"/>
    </row>
    <row r="344" ht="15.75" customHeight="1" s="134">
      <c r="A344" s="2" t="n"/>
      <c r="B344" s="2" t="n"/>
      <c r="C344" s="2" t="n"/>
      <c r="D344" s="2" t="n"/>
      <c r="E344" s="2" t="n"/>
      <c r="F344" s="2" t="n"/>
    </row>
    <row r="345" ht="15.75" customHeight="1" s="134">
      <c r="A345" s="2" t="n"/>
      <c r="B345" s="2" t="n"/>
      <c r="C345" s="2" t="n"/>
      <c r="D345" s="2" t="n"/>
      <c r="E345" s="2" t="n"/>
      <c r="F345" s="2" t="n"/>
    </row>
    <row r="346" ht="15.75" customHeight="1" s="134">
      <c r="A346" s="2" t="n"/>
      <c r="B346" s="2" t="n"/>
      <c r="C346" s="2" t="n"/>
      <c r="D346" s="2" t="n"/>
      <c r="E346" s="2" t="n"/>
      <c r="F346" s="2" t="n"/>
    </row>
    <row r="347" ht="15.75" customHeight="1" s="134">
      <c r="A347" s="2" t="n"/>
      <c r="B347" s="2" t="n"/>
      <c r="C347" s="2" t="n"/>
      <c r="D347" s="2" t="n"/>
      <c r="E347" s="2" t="n"/>
      <c r="F347" s="2" t="n"/>
    </row>
    <row r="348" ht="15.75" customHeight="1" s="134">
      <c r="A348" s="2" t="n"/>
      <c r="B348" s="2" t="n"/>
      <c r="C348" s="2" t="n"/>
      <c r="D348" s="2" t="n"/>
      <c r="E348" s="2" t="n"/>
      <c r="F348" s="2" t="n"/>
    </row>
    <row r="349" ht="15.75" customHeight="1" s="134">
      <c r="A349" s="2" t="n"/>
      <c r="B349" s="2" t="n"/>
      <c r="C349" s="2" t="n"/>
      <c r="D349" s="2" t="n"/>
      <c r="E349" s="2" t="n"/>
      <c r="F349" s="2" t="n"/>
    </row>
    <row r="350" ht="15.75" customHeight="1" s="134">
      <c r="A350" s="2" t="n"/>
      <c r="B350" s="2" t="n"/>
      <c r="C350" s="2" t="n"/>
      <c r="D350" s="2" t="n"/>
      <c r="E350" s="2" t="n"/>
      <c r="F350" s="2" t="n"/>
    </row>
    <row r="351" ht="15.75" customHeight="1" s="134">
      <c r="A351" s="2" t="n"/>
      <c r="B351" s="2" t="n"/>
      <c r="C351" s="2" t="n"/>
      <c r="D351" s="2" t="n"/>
      <c r="E351" s="2" t="n"/>
      <c r="F351" s="2" t="n"/>
    </row>
    <row r="352" ht="15.75" customHeight="1" s="134">
      <c r="A352" s="2" t="n"/>
      <c r="B352" s="2" t="n"/>
      <c r="C352" s="2" t="n"/>
      <c r="D352" s="2" t="n"/>
      <c r="E352" s="2" t="n"/>
      <c r="F352" s="2" t="n"/>
    </row>
    <row r="353" ht="15.75" customHeight="1" s="134">
      <c r="A353" s="2" t="n"/>
      <c r="B353" s="2" t="n"/>
      <c r="C353" s="2" t="n"/>
      <c r="D353" s="2" t="n"/>
      <c r="E353" s="2" t="n"/>
      <c r="F353" s="2" t="n"/>
    </row>
    <row r="354" ht="15.75" customHeight="1" s="134">
      <c r="A354" s="2" t="n"/>
      <c r="B354" s="2" t="n"/>
      <c r="C354" s="2" t="n"/>
      <c r="D354" s="2" t="n"/>
      <c r="E354" s="2" t="n"/>
      <c r="F354" s="2" t="n"/>
    </row>
    <row r="355" ht="15.75" customHeight="1" s="134">
      <c r="A355" s="2" t="n"/>
      <c r="B355" s="2" t="n"/>
      <c r="C355" s="2" t="n"/>
      <c r="D355" s="2" t="n"/>
      <c r="E355" s="2" t="n"/>
      <c r="F355" s="2" t="n"/>
    </row>
    <row r="356" ht="15.75" customHeight="1" s="134">
      <c r="A356" s="2" t="n"/>
      <c r="B356" s="2" t="n"/>
      <c r="C356" s="2" t="n"/>
      <c r="D356" s="2" t="n"/>
      <c r="E356" s="2" t="n"/>
      <c r="F356" s="2" t="n"/>
    </row>
    <row r="357" ht="15.75" customHeight="1" s="134">
      <c r="A357" s="2" t="n"/>
      <c r="B357" s="2" t="n"/>
      <c r="C357" s="2" t="n"/>
      <c r="D357" s="2" t="n"/>
      <c r="E357" s="2" t="n"/>
      <c r="F357" s="2" t="n"/>
    </row>
    <row r="358" ht="15.75" customHeight="1" s="134">
      <c r="A358" s="2" t="n"/>
      <c r="B358" s="2" t="n"/>
      <c r="C358" s="2" t="n"/>
      <c r="D358" s="2" t="n"/>
      <c r="E358" s="2" t="n"/>
      <c r="F358" s="2" t="n"/>
    </row>
    <row r="359" ht="15.75" customHeight="1" s="134">
      <c r="A359" s="2" t="n"/>
      <c r="B359" s="2" t="n"/>
      <c r="C359" s="2" t="n"/>
      <c r="D359" s="2" t="n"/>
      <c r="E359" s="2" t="n"/>
      <c r="F359" s="2" t="n"/>
    </row>
    <row r="360" ht="15.75" customHeight="1" s="134">
      <c r="A360" s="2" t="n"/>
      <c r="B360" s="2" t="n"/>
      <c r="C360" s="2" t="n"/>
      <c r="D360" s="2" t="n"/>
      <c r="E360" s="2" t="n"/>
      <c r="F360" s="2" t="n"/>
    </row>
    <row r="361" ht="15.75" customHeight="1" s="134">
      <c r="A361" s="2" t="n"/>
      <c r="B361" s="2" t="n"/>
      <c r="C361" s="2" t="n"/>
      <c r="D361" s="2" t="n"/>
      <c r="E361" s="2" t="n"/>
      <c r="F361" s="2" t="n"/>
    </row>
    <row r="362" ht="15.75" customHeight="1" s="134">
      <c r="A362" s="2" t="n"/>
      <c r="B362" s="2" t="n"/>
      <c r="C362" s="2" t="n"/>
      <c r="D362" s="2" t="n"/>
      <c r="E362" s="2" t="n"/>
      <c r="F362" s="2" t="n"/>
    </row>
    <row r="363" ht="15.75" customHeight="1" s="134">
      <c r="A363" s="2" t="n"/>
      <c r="B363" s="2" t="n"/>
      <c r="C363" s="2" t="n"/>
      <c r="D363" s="2" t="n"/>
      <c r="E363" s="2" t="n"/>
      <c r="F363" s="2" t="n"/>
    </row>
    <row r="364" ht="15.75" customHeight="1" s="134">
      <c r="A364" s="2" t="n"/>
      <c r="B364" s="2" t="n"/>
      <c r="C364" s="2" t="n"/>
      <c r="D364" s="2" t="n"/>
      <c r="E364" s="2" t="n"/>
      <c r="F364" s="2" t="n"/>
    </row>
    <row r="365" ht="15.75" customHeight="1" s="134">
      <c r="A365" s="2" t="n"/>
      <c r="B365" s="2" t="n"/>
      <c r="C365" s="2" t="n"/>
      <c r="D365" s="2" t="n"/>
      <c r="E365" s="2" t="n"/>
      <c r="F365" s="2" t="n"/>
    </row>
    <row r="366" ht="15.75" customHeight="1" s="134">
      <c r="A366" s="2" t="n"/>
      <c r="B366" s="2" t="n"/>
      <c r="C366" s="2" t="n"/>
      <c r="D366" s="2" t="n"/>
      <c r="E366" s="2" t="n"/>
      <c r="F366" s="2" t="n"/>
    </row>
    <row r="367" ht="15.75" customHeight="1" s="134">
      <c r="A367" s="2" t="n"/>
      <c r="B367" s="2" t="n"/>
      <c r="C367" s="2" t="n"/>
      <c r="D367" s="2" t="n"/>
      <c r="E367" s="2" t="n"/>
      <c r="F367" s="2" t="n"/>
    </row>
    <row r="368" ht="15.75" customHeight="1" s="134">
      <c r="A368" s="2" t="n"/>
      <c r="B368" s="2" t="n"/>
      <c r="C368" s="2" t="n"/>
      <c r="D368" s="2" t="n"/>
      <c r="E368" s="2" t="n"/>
      <c r="F368" s="2" t="n"/>
    </row>
    <row r="369" ht="15.75" customHeight="1" s="134">
      <c r="A369" s="2" t="n"/>
      <c r="B369" s="2" t="n"/>
      <c r="C369" s="2" t="n"/>
      <c r="D369" s="2" t="n"/>
      <c r="E369" s="2" t="n"/>
      <c r="F369" s="2" t="n"/>
    </row>
    <row r="370" ht="15.75" customHeight="1" s="134">
      <c r="A370" s="2" t="n"/>
      <c r="B370" s="2" t="n"/>
      <c r="C370" s="2" t="n"/>
      <c r="D370" s="2" t="n"/>
      <c r="E370" s="2" t="n"/>
      <c r="F370" s="2" t="n"/>
    </row>
    <row r="371" ht="15.75" customHeight="1" s="134">
      <c r="A371" s="2" t="n"/>
      <c r="B371" s="2" t="n"/>
      <c r="C371" s="2" t="n"/>
      <c r="D371" s="2" t="n"/>
      <c r="E371" s="2" t="n"/>
      <c r="F371" s="2" t="n"/>
    </row>
    <row r="372" ht="15.75" customHeight="1" s="134">
      <c r="A372" s="2" t="n"/>
      <c r="B372" s="2" t="n"/>
      <c r="C372" s="2" t="n"/>
      <c r="D372" s="2" t="n"/>
      <c r="E372" s="2" t="n"/>
      <c r="F372" s="2" t="n"/>
    </row>
    <row r="373" ht="15.75" customHeight="1" s="134">
      <c r="A373" s="2" t="n"/>
      <c r="B373" s="2" t="n"/>
      <c r="C373" s="2" t="n"/>
      <c r="D373" s="2" t="n"/>
      <c r="E373" s="2" t="n"/>
      <c r="F373" s="2" t="n"/>
    </row>
    <row r="374" ht="15.75" customHeight="1" s="134">
      <c r="A374" s="2" t="n"/>
      <c r="B374" s="2" t="n"/>
      <c r="C374" s="2" t="n"/>
      <c r="D374" s="2" t="n"/>
      <c r="E374" s="2" t="n"/>
      <c r="F374" s="2" t="n"/>
    </row>
    <row r="375" ht="15.75" customHeight="1" s="134">
      <c r="A375" s="2" t="n"/>
      <c r="B375" s="2" t="n"/>
      <c r="C375" s="2" t="n"/>
      <c r="D375" s="2" t="n"/>
      <c r="E375" s="2" t="n"/>
      <c r="F375" s="2" t="n"/>
    </row>
    <row r="376" ht="15.75" customHeight="1" s="134">
      <c r="A376" s="2" t="n"/>
      <c r="B376" s="2" t="n"/>
      <c r="C376" s="2" t="n"/>
      <c r="D376" s="2" t="n"/>
      <c r="E376" s="2" t="n"/>
      <c r="F376" s="2" t="n"/>
    </row>
    <row r="377" ht="15.75" customHeight="1" s="134">
      <c r="A377" s="2" t="n"/>
      <c r="B377" s="2" t="n"/>
      <c r="C377" s="2" t="n"/>
      <c r="D377" s="2" t="n"/>
      <c r="E377" s="2" t="n"/>
      <c r="F377" s="2" t="n"/>
    </row>
    <row r="378" ht="15.75" customHeight="1" s="134">
      <c r="A378" s="2" t="n"/>
      <c r="B378" s="2" t="n"/>
      <c r="C378" s="2" t="n"/>
      <c r="D378" s="2" t="n"/>
      <c r="E378" s="2" t="n"/>
      <c r="F378" s="2" t="n"/>
    </row>
    <row r="379" ht="15.75" customHeight="1" s="134">
      <c r="A379" s="2" t="n"/>
      <c r="B379" s="2" t="n"/>
      <c r="C379" s="2" t="n"/>
      <c r="D379" s="2" t="n"/>
      <c r="E379" s="2" t="n"/>
      <c r="F379" s="2" t="n"/>
    </row>
    <row r="380" ht="15.75" customHeight="1" s="134">
      <c r="A380" s="2" t="n"/>
      <c r="B380" s="2" t="n"/>
      <c r="C380" s="2" t="n"/>
      <c r="D380" s="2" t="n"/>
      <c r="E380" s="2" t="n"/>
      <c r="F380" s="2" t="n"/>
    </row>
    <row r="381" ht="15.75" customHeight="1" s="134">
      <c r="A381" s="2" t="n"/>
      <c r="B381" s="2" t="n"/>
      <c r="C381" s="2" t="n"/>
      <c r="D381" s="2" t="n"/>
      <c r="E381" s="2" t="n"/>
      <c r="F381" s="2" t="n"/>
    </row>
    <row r="382" ht="15.75" customHeight="1" s="134">
      <c r="A382" s="2" t="n"/>
      <c r="B382" s="2" t="n"/>
      <c r="C382" s="2" t="n"/>
      <c r="D382" s="2" t="n"/>
      <c r="E382" s="2" t="n"/>
      <c r="F382" s="2" t="n"/>
    </row>
    <row r="383" ht="15.75" customHeight="1" s="134">
      <c r="A383" s="2" t="n"/>
      <c r="B383" s="2" t="n"/>
      <c r="C383" s="2" t="n"/>
      <c r="D383" s="2" t="n"/>
      <c r="E383" s="2" t="n"/>
      <c r="F383" s="2" t="n"/>
    </row>
    <row r="384" ht="15.75" customHeight="1" s="134">
      <c r="A384" s="2" t="n"/>
      <c r="B384" s="2" t="n"/>
      <c r="C384" s="2" t="n"/>
      <c r="D384" s="2" t="n"/>
      <c r="E384" s="2" t="n"/>
      <c r="F384" s="2" t="n"/>
    </row>
    <row r="385" ht="15.75" customHeight="1" s="134">
      <c r="A385" s="2" t="n"/>
      <c r="B385" s="2" t="n"/>
      <c r="C385" s="2" t="n"/>
      <c r="D385" s="2" t="n"/>
      <c r="E385" s="2" t="n"/>
      <c r="F385" s="2" t="n"/>
    </row>
    <row r="386" ht="15.75" customHeight="1" s="134">
      <c r="A386" s="2" t="n"/>
      <c r="B386" s="2" t="n"/>
      <c r="C386" s="2" t="n"/>
      <c r="D386" s="2" t="n"/>
      <c r="E386" s="2" t="n"/>
      <c r="F386" s="2" t="n"/>
    </row>
    <row r="387" ht="15.75" customHeight="1" s="134">
      <c r="A387" s="2" t="n"/>
      <c r="B387" s="2" t="n"/>
      <c r="C387" s="2" t="n"/>
      <c r="D387" s="2" t="n"/>
      <c r="E387" s="2" t="n"/>
      <c r="F387" s="2" t="n"/>
    </row>
    <row r="388" ht="15.75" customHeight="1" s="134">
      <c r="A388" s="2" t="n"/>
      <c r="B388" s="2" t="n"/>
      <c r="C388" s="2" t="n"/>
      <c r="D388" s="2" t="n"/>
      <c r="E388" s="2" t="n"/>
      <c r="F388" s="2" t="n"/>
    </row>
    <row r="389" ht="15.75" customHeight="1" s="134">
      <c r="A389" s="2" t="n"/>
      <c r="B389" s="2" t="n"/>
      <c r="C389" s="2" t="n"/>
      <c r="D389" s="2" t="n"/>
      <c r="E389" s="2" t="n"/>
      <c r="F389" s="2" t="n"/>
    </row>
    <row r="390" ht="15.75" customHeight="1" s="134">
      <c r="A390" s="2" t="n"/>
      <c r="B390" s="2" t="n"/>
      <c r="C390" s="2" t="n"/>
      <c r="D390" s="2" t="n"/>
      <c r="E390" s="2" t="n"/>
      <c r="F390" s="2" t="n"/>
    </row>
    <row r="391" ht="15.75" customHeight="1" s="134">
      <c r="A391" s="2" t="n"/>
      <c r="B391" s="2" t="n"/>
      <c r="C391" s="2" t="n"/>
      <c r="D391" s="2" t="n"/>
      <c r="E391" s="2" t="n"/>
      <c r="F391" s="2" t="n"/>
    </row>
    <row r="392" ht="15.75" customHeight="1" s="134">
      <c r="A392" s="2" t="n"/>
      <c r="B392" s="2" t="n"/>
      <c r="C392" s="2" t="n"/>
      <c r="D392" s="2" t="n"/>
      <c r="E392" s="2" t="n"/>
      <c r="F392" s="2" t="n"/>
    </row>
    <row r="393" ht="15.75" customHeight="1" s="134">
      <c r="A393" s="2" t="n"/>
      <c r="B393" s="2" t="n"/>
      <c r="C393" s="2" t="n"/>
      <c r="D393" s="2" t="n"/>
      <c r="E393" s="2" t="n"/>
      <c r="F393" s="2" t="n"/>
    </row>
    <row r="394" ht="15.75" customHeight="1" s="134">
      <c r="A394" s="2" t="n"/>
      <c r="B394" s="2" t="n"/>
      <c r="C394" s="2" t="n"/>
      <c r="D394" s="2" t="n"/>
      <c r="E394" s="2" t="n"/>
      <c r="F394" s="2" t="n"/>
    </row>
    <row r="395" ht="15.75" customHeight="1" s="134">
      <c r="A395" s="2" t="n"/>
      <c r="B395" s="2" t="n"/>
      <c r="C395" s="2" t="n"/>
      <c r="D395" s="2" t="n"/>
      <c r="E395" s="2" t="n"/>
      <c r="F395" s="2" t="n"/>
    </row>
    <row r="396" ht="15.75" customHeight="1" s="134">
      <c r="A396" s="2" t="n"/>
      <c r="B396" s="2" t="n"/>
      <c r="C396" s="2" t="n"/>
      <c r="D396" s="2" t="n"/>
      <c r="E396" s="2" t="n"/>
      <c r="F396" s="2" t="n"/>
    </row>
    <row r="397" ht="15.75" customHeight="1" s="134">
      <c r="A397" s="2" t="n"/>
      <c r="B397" s="2" t="n"/>
      <c r="C397" s="2" t="n"/>
      <c r="D397" s="2" t="n"/>
      <c r="E397" s="2" t="n"/>
      <c r="F397" s="2" t="n"/>
    </row>
    <row r="398" ht="15.75" customHeight="1" s="134">
      <c r="A398" s="2" t="n"/>
      <c r="B398" s="2" t="n"/>
      <c r="C398" s="2" t="n"/>
      <c r="D398" s="2" t="n"/>
      <c r="E398" s="2" t="n"/>
      <c r="F398" s="2" t="n"/>
    </row>
    <row r="399" ht="15.75" customHeight="1" s="134">
      <c r="A399" s="2" t="n"/>
      <c r="B399" s="2" t="n"/>
      <c r="C399" s="2" t="n"/>
      <c r="D399" s="2" t="n"/>
      <c r="E399" s="2" t="n"/>
      <c r="F399" s="2" t="n"/>
    </row>
    <row r="400" ht="15.75" customHeight="1" s="134">
      <c r="A400" s="2" t="n"/>
      <c r="B400" s="2" t="n"/>
      <c r="C400" s="2" t="n"/>
      <c r="D400" s="2" t="n"/>
      <c r="E400" s="2" t="n"/>
      <c r="F400" s="2" t="n"/>
    </row>
    <row r="401" ht="15.75" customHeight="1" s="134">
      <c r="A401" s="2" t="n"/>
      <c r="B401" s="2" t="n"/>
      <c r="C401" s="2" t="n"/>
      <c r="D401" s="2" t="n"/>
      <c r="E401" s="2" t="n"/>
      <c r="F401" s="2" t="n"/>
    </row>
    <row r="402" ht="15.75" customHeight="1" s="134">
      <c r="A402" s="2" t="n"/>
      <c r="B402" s="2" t="n"/>
      <c r="C402" s="2" t="n"/>
      <c r="D402" s="2" t="n"/>
      <c r="E402" s="2" t="n"/>
      <c r="F402" s="2" t="n"/>
    </row>
    <row r="403" ht="15.75" customHeight="1" s="134">
      <c r="A403" s="2" t="n"/>
      <c r="B403" s="2" t="n"/>
      <c r="C403" s="2" t="n"/>
      <c r="D403" s="2" t="n"/>
      <c r="E403" s="2" t="n"/>
      <c r="F403" s="2" t="n"/>
    </row>
    <row r="404" ht="15.75" customHeight="1" s="134">
      <c r="A404" s="2" t="n"/>
      <c r="B404" s="2" t="n"/>
      <c r="C404" s="2" t="n"/>
      <c r="D404" s="2" t="n"/>
      <c r="E404" s="2" t="n"/>
      <c r="F404" s="2" t="n"/>
    </row>
    <row r="405" ht="15.75" customHeight="1" s="134">
      <c r="A405" s="2" t="n"/>
      <c r="B405" s="2" t="n"/>
      <c r="C405" s="2" t="n"/>
      <c r="D405" s="2" t="n"/>
      <c r="E405" s="2" t="n"/>
      <c r="F405" s="2" t="n"/>
    </row>
    <row r="406" ht="15.75" customHeight="1" s="134">
      <c r="A406" s="2" t="n"/>
      <c r="B406" s="2" t="n"/>
      <c r="C406" s="2" t="n"/>
      <c r="D406" s="2" t="n"/>
      <c r="E406" s="2" t="n"/>
      <c r="F406" s="2" t="n"/>
    </row>
    <row r="407" ht="15.75" customHeight="1" s="134">
      <c r="A407" s="2" t="n"/>
      <c r="B407" s="2" t="n"/>
      <c r="C407" s="2" t="n"/>
      <c r="D407" s="2" t="n"/>
      <c r="E407" s="2" t="n"/>
      <c r="F407" s="2" t="n"/>
    </row>
    <row r="408" ht="15.75" customHeight="1" s="134">
      <c r="A408" s="2" t="n"/>
      <c r="B408" s="2" t="n"/>
      <c r="C408" s="2" t="n"/>
      <c r="D408" s="2" t="n"/>
      <c r="E408" s="2" t="n"/>
      <c r="F408" s="2" t="n"/>
    </row>
    <row r="409" ht="15.75" customHeight="1" s="134">
      <c r="A409" s="2" t="n"/>
      <c r="B409" s="2" t="n"/>
      <c r="C409" s="2" t="n"/>
      <c r="D409" s="2" t="n"/>
      <c r="E409" s="2" t="n"/>
      <c r="F409" s="2" t="n"/>
    </row>
    <row r="410" ht="15.75" customHeight="1" s="134">
      <c r="A410" s="2" t="n"/>
      <c r="B410" s="2" t="n"/>
      <c r="C410" s="2" t="n"/>
      <c r="D410" s="2" t="n"/>
      <c r="E410" s="2" t="n"/>
      <c r="F410" s="2" t="n"/>
    </row>
    <row r="411" ht="15.75" customHeight="1" s="134">
      <c r="A411" s="2" t="n"/>
      <c r="B411" s="2" t="n"/>
      <c r="C411" s="2" t="n"/>
      <c r="D411" s="2" t="n"/>
      <c r="E411" s="2" t="n"/>
      <c r="F411" s="2" t="n"/>
    </row>
    <row r="412" ht="15.75" customHeight="1" s="134">
      <c r="A412" s="2" t="n"/>
      <c r="B412" s="2" t="n"/>
      <c r="C412" s="2" t="n"/>
      <c r="D412" s="2" t="n"/>
      <c r="E412" s="2" t="n"/>
      <c r="F412" s="2" t="n"/>
    </row>
    <row r="413" ht="15.75" customHeight="1" s="134">
      <c r="A413" s="2" t="n"/>
      <c r="B413" s="2" t="n"/>
      <c r="C413" s="2" t="n"/>
      <c r="D413" s="2" t="n"/>
      <c r="E413" s="2" t="n"/>
      <c r="F413" s="2" t="n"/>
    </row>
    <row r="414" ht="15.75" customHeight="1" s="134">
      <c r="A414" s="2" t="n"/>
      <c r="B414" s="2" t="n"/>
      <c r="C414" s="2" t="n"/>
      <c r="D414" s="2" t="n"/>
      <c r="E414" s="2" t="n"/>
      <c r="F414" s="2" t="n"/>
    </row>
    <row r="415" ht="15.75" customHeight="1" s="134">
      <c r="A415" s="2" t="n"/>
      <c r="B415" s="2" t="n"/>
      <c r="C415" s="2" t="n"/>
      <c r="D415" s="2" t="n"/>
      <c r="E415" s="2" t="n"/>
      <c r="F415" s="2" t="n"/>
    </row>
    <row r="416" ht="15.75" customHeight="1" s="134">
      <c r="A416" s="2" t="n"/>
      <c r="B416" s="2" t="n"/>
      <c r="C416" s="2" t="n"/>
      <c r="D416" s="2" t="n"/>
      <c r="E416" s="2" t="n"/>
      <c r="F416" s="2" t="n"/>
    </row>
    <row r="417" ht="15.75" customHeight="1" s="134">
      <c r="A417" s="2" t="n"/>
      <c r="B417" s="2" t="n"/>
      <c r="C417" s="2" t="n"/>
      <c r="D417" s="2" t="n"/>
      <c r="E417" s="2" t="n"/>
      <c r="F417" s="2" t="n"/>
    </row>
    <row r="418" ht="15.75" customHeight="1" s="134">
      <c r="A418" s="2" t="n"/>
      <c r="B418" s="2" t="n"/>
      <c r="C418" s="2" t="n"/>
      <c r="D418" s="2" t="n"/>
      <c r="E418" s="2" t="n"/>
      <c r="F418" s="2" t="n"/>
    </row>
    <row r="419" ht="15.75" customHeight="1" s="134">
      <c r="A419" s="2" t="n"/>
      <c r="B419" s="2" t="n"/>
      <c r="C419" s="2" t="n"/>
      <c r="D419" s="2" t="n"/>
      <c r="E419" s="2" t="n"/>
      <c r="F419" s="2" t="n"/>
    </row>
    <row r="420" ht="15.75" customHeight="1" s="134">
      <c r="A420" s="2" t="n"/>
      <c r="B420" s="2" t="n"/>
      <c r="C420" s="2" t="n"/>
      <c r="D420" s="2" t="n"/>
      <c r="E420" s="2" t="n"/>
      <c r="F420" s="2" t="n"/>
    </row>
    <row r="421" ht="15.75" customHeight="1" s="134">
      <c r="A421" s="2" t="n"/>
      <c r="B421" s="2" t="n"/>
      <c r="C421" s="2" t="n"/>
      <c r="D421" s="2" t="n"/>
      <c r="E421" s="2" t="n"/>
      <c r="F421" s="2" t="n"/>
    </row>
    <row r="422" ht="15.75" customHeight="1" s="134">
      <c r="A422" s="2" t="n"/>
      <c r="B422" s="2" t="n"/>
      <c r="C422" s="2" t="n"/>
      <c r="D422" s="2" t="n"/>
      <c r="E422" s="2" t="n"/>
      <c r="F422" s="2" t="n"/>
    </row>
    <row r="423" ht="15.75" customHeight="1" s="134">
      <c r="A423" s="2" t="n"/>
      <c r="B423" s="2" t="n"/>
      <c r="C423" s="2" t="n"/>
      <c r="D423" s="2" t="n"/>
      <c r="E423" s="2" t="n"/>
      <c r="F423" s="2" t="n"/>
    </row>
    <row r="424" ht="15.75" customHeight="1" s="134">
      <c r="A424" s="2" t="n"/>
      <c r="B424" s="2" t="n"/>
      <c r="C424" s="2" t="n"/>
      <c r="D424" s="2" t="n"/>
      <c r="E424" s="2" t="n"/>
      <c r="F424" s="2" t="n"/>
    </row>
    <row r="425" ht="15.75" customHeight="1" s="134">
      <c r="A425" s="2" t="n"/>
      <c r="B425" s="2" t="n"/>
      <c r="C425" s="2" t="n"/>
      <c r="D425" s="2" t="n"/>
      <c r="E425" s="2" t="n"/>
      <c r="F425" s="2" t="n"/>
    </row>
    <row r="426" ht="15.75" customHeight="1" s="134">
      <c r="A426" s="2" t="n"/>
      <c r="B426" s="2" t="n"/>
      <c r="C426" s="2" t="n"/>
      <c r="D426" s="2" t="n"/>
      <c r="E426" s="2" t="n"/>
      <c r="F426" s="2" t="n"/>
    </row>
    <row r="427" ht="15.75" customHeight="1" s="134">
      <c r="A427" s="2" t="n"/>
      <c r="B427" s="2" t="n"/>
      <c r="C427" s="2" t="n"/>
      <c r="D427" s="2" t="n"/>
      <c r="E427" s="2" t="n"/>
      <c r="F427" s="2" t="n"/>
    </row>
    <row r="428" ht="15.75" customHeight="1" s="134">
      <c r="A428" s="2" t="n"/>
      <c r="B428" s="2" t="n"/>
      <c r="C428" s="2" t="n"/>
      <c r="D428" s="2" t="n"/>
      <c r="E428" s="2" t="n"/>
      <c r="F428" s="2" t="n"/>
    </row>
    <row r="429" ht="15.75" customHeight="1" s="134">
      <c r="A429" s="2" t="n"/>
      <c r="B429" s="2" t="n"/>
      <c r="C429" s="2" t="n"/>
      <c r="D429" s="2" t="n"/>
      <c r="E429" s="2" t="n"/>
      <c r="F429" s="2" t="n"/>
    </row>
    <row r="430" ht="15.75" customHeight="1" s="134">
      <c r="A430" s="2" t="n"/>
      <c r="B430" s="2" t="n"/>
      <c r="C430" s="2" t="n"/>
      <c r="D430" s="2" t="n"/>
      <c r="E430" s="2" t="n"/>
      <c r="F430" s="2" t="n"/>
    </row>
    <row r="431" ht="15.75" customHeight="1" s="134">
      <c r="A431" s="2" t="n"/>
      <c r="B431" s="2" t="n"/>
      <c r="C431" s="2" t="n"/>
      <c r="D431" s="2" t="n"/>
      <c r="E431" s="2" t="n"/>
      <c r="F431" s="2" t="n"/>
    </row>
    <row r="432" ht="15.75" customHeight="1" s="134">
      <c r="A432" s="2" t="n"/>
      <c r="B432" s="2" t="n"/>
      <c r="C432" s="2" t="n"/>
      <c r="D432" s="2" t="n"/>
      <c r="E432" s="2" t="n"/>
      <c r="F432" s="2" t="n"/>
    </row>
    <row r="433" ht="15.75" customHeight="1" s="134">
      <c r="A433" s="2" t="n"/>
      <c r="B433" s="2" t="n"/>
      <c r="C433" s="2" t="n"/>
      <c r="D433" s="2" t="n"/>
      <c r="E433" s="2" t="n"/>
      <c r="F433" s="2" t="n"/>
    </row>
    <row r="434" ht="15.75" customHeight="1" s="134">
      <c r="A434" s="2" t="n"/>
      <c r="B434" s="2" t="n"/>
      <c r="C434" s="2" t="n"/>
      <c r="D434" s="2" t="n"/>
      <c r="E434" s="2" t="n"/>
      <c r="F434" s="2" t="n"/>
    </row>
    <row r="435" ht="15.75" customHeight="1" s="134">
      <c r="A435" s="2" t="n"/>
      <c r="B435" s="2" t="n"/>
      <c r="C435" s="2" t="n"/>
      <c r="D435" s="2" t="n"/>
      <c r="E435" s="2" t="n"/>
      <c r="F435" s="2" t="n"/>
    </row>
    <row r="436" ht="15.75" customHeight="1" s="134">
      <c r="A436" s="2" t="n"/>
      <c r="B436" s="2" t="n"/>
      <c r="C436" s="2" t="n"/>
      <c r="D436" s="2" t="n"/>
      <c r="E436" s="2" t="n"/>
      <c r="F436" s="2" t="n"/>
    </row>
    <row r="437" ht="15.75" customHeight="1" s="134">
      <c r="A437" s="2" t="n"/>
      <c r="B437" s="2" t="n"/>
      <c r="C437" s="2" t="n"/>
      <c r="D437" s="2" t="n"/>
      <c r="E437" s="2" t="n"/>
      <c r="F437" s="2" t="n"/>
    </row>
    <row r="438" ht="15.75" customHeight="1" s="134">
      <c r="A438" s="2" t="n"/>
      <c r="B438" s="2" t="n"/>
      <c r="C438" s="2" t="n"/>
      <c r="D438" s="2" t="n"/>
      <c r="E438" s="2" t="n"/>
      <c r="F438" s="2" t="n"/>
    </row>
    <row r="439" ht="15.75" customHeight="1" s="134">
      <c r="A439" s="2" t="n"/>
      <c r="B439" s="2" t="n"/>
      <c r="C439" s="2" t="n"/>
      <c r="D439" s="2" t="n"/>
      <c r="E439" s="2" t="n"/>
      <c r="F439" s="2" t="n"/>
    </row>
    <row r="440" ht="15.75" customHeight="1" s="134">
      <c r="A440" s="2" t="n"/>
      <c r="B440" s="2" t="n"/>
      <c r="C440" s="2" t="n"/>
      <c r="D440" s="2" t="n"/>
      <c r="E440" s="2" t="n"/>
      <c r="F440" s="2" t="n"/>
    </row>
    <row r="441" ht="15.75" customHeight="1" s="134">
      <c r="A441" s="2" t="n"/>
      <c r="B441" s="2" t="n"/>
      <c r="C441" s="2" t="n"/>
      <c r="D441" s="2" t="n"/>
      <c r="E441" s="2" t="n"/>
      <c r="F441" s="2" t="n"/>
    </row>
    <row r="442" ht="15.75" customHeight="1" s="134">
      <c r="A442" s="2" t="n"/>
      <c r="B442" s="2" t="n"/>
      <c r="C442" s="2" t="n"/>
      <c r="D442" s="2" t="n"/>
      <c r="E442" s="2" t="n"/>
      <c r="F442" s="2" t="n"/>
    </row>
    <row r="443" ht="15.75" customHeight="1" s="134">
      <c r="A443" s="2" t="n"/>
      <c r="B443" s="2" t="n"/>
      <c r="C443" s="2" t="n"/>
      <c r="D443" s="2" t="n"/>
      <c r="E443" s="2" t="n"/>
      <c r="F443" s="2" t="n"/>
    </row>
    <row r="444" ht="15.75" customHeight="1" s="134">
      <c r="A444" s="2" t="n"/>
      <c r="B444" s="2" t="n"/>
      <c r="C444" s="2" t="n"/>
      <c r="D444" s="2" t="n"/>
      <c r="E444" s="2" t="n"/>
      <c r="F444" s="2" t="n"/>
    </row>
    <row r="445" ht="15.75" customHeight="1" s="134">
      <c r="A445" s="2" t="n"/>
      <c r="B445" s="2" t="n"/>
      <c r="C445" s="2" t="n"/>
      <c r="D445" s="2" t="n"/>
      <c r="E445" s="2" t="n"/>
      <c r="F445" s="2" t="n"/>
    </row>
    <row r="446" ht="15.75" customHeight="1" s="134">
      <c r="A446" s="2" t="n"/>
      <c r="B446" s="2" t="n"/>
      <c r="C446" s="2" t="n"/>
      <c r="D446" s="2" t="n"/>
      <c r="E446" s="2" t="n"/>
      <c r="F446" s="2" t="n"/>
    </row>
    <row r="447" ht="15.75" customHeight="1" s="134">
      <c r="A447" s="2" t="n"/>
      <c r="B447" s="2" t="n"/>
      <c r="C447" s="2" t="n"/>
      <c r="D447" s="2" t="n"/>
      <c r="E447" s="2" t="n"/>
      <c r="F447" s="2" t="n"/>
    </row>
    <row r="448" ht="15.75" customHeight="1" s="134">
      <c r="A448" s="2" t="n"/>
      <c r="B448" s="2" t="n"/>
      <c r="C448" s="2" t="n"/>
      <c r="D448" s="2" t="n"/>
      <c r="E448" s="2" t="n"/>
      <c r="F448" s="2" t="n"/>
    </row>
    <row r="449" ht="15.75" customHeight="1" s="134">
      <c r="A449" s="2" t="n"/>
      <c r="B449" s="2" t="n"/>
      <c r="C449" s="2" t="n"/>
      <c r="D449" s="2" t="n"/>
      <c r="E449" s="2" t="n"/>
      <c r="F449" s="2" t="n"/>
    </row>
    <row r="450" ht="15.75" customHeight="1" s="134">
      <c r="A450" s="2" t="n"/>
      <c r="B450" s="2" t="n"/>
      <c r="C450" s="2" t="n"/>
      <c r="D450" s="2" t="n"/>
      <c r="E450" s="2" t="n"/>
      <c r="F450" s="2" t="n"/>
    </row>
    <row r="451" ht="15.75" customHeight="1" s="134">
      <c r="A451" s="2" t="n"/>
      <c r="B451" s="2" t="n"/>
      <c r="C451" s="2" t="n"/>
      <c r="D451" s="2" t="n"/>
      <c r="E451" s="2" t="n"/>
      <c r="F451" s="2" t="n"/>
    </row>
    <row r="452" ht="15.75" customHeight="1" s="134">
      <c r="A452" s="2" t="n"/>
      <c r="B452" s="2" t="n"/>
      <c r="C452" s="2" t="n"/>
      <c r="D452" s="2" t="n"/>
      <c r="E452" s="2" t="n"/>
      <c r="F452" s="2" t="n"/>
    </row>
    <row r="453" ht="15.75" customHeight="1" s="134">
      <c r="A453" s="2" t="n"/>
      <c r="B453" s="2" t="n"/>
      <c r="C453" s="2" t="n"/>
      <c r="D453" s="2" t="n"/>
      <c r="E453" s="2" t="n"/>
      <c r="F453" s="2" t="n"/>
    </row>
    <row r="454" ht="15.75" customHeight="1" s="134">
      <c r="A454" s="2" t="n"/>
      <c r="B454" s="2" t="n"/>
      <c r="C454" s="2" t="n"/>
      <c r="D454" s="2" t="n"/>
      <c r="E454" s="2" t="n"/>
      <c r="F454" s="2" t="n"/>
    </row>
    <row r="455" ht="15.75" customHeight="1" s="134">
      <c r="A455" s="2" t="n"/>
      <c r="B455" s="2" t="n"/>
      <c r="C455" s="2" t="n"/>
      <c r="D455" s="2" t="n"/>
      <c r="E455" s="2" t="n"/>
      <c r="F455" s="2" t="n"/>
    </row>
    <row r="456" ht="15.75" customHeight="1" s="134">
      <c r="A456" s="2" t="n"/>
      <c r="B456" s="2" t="n"/>
      <c r="C456" s="2" t="n"/>
      <c r="D456" s="2" t="n"/>
      <c r="E456" s="2" t="n"/>
      <c r="F456" s="2" t="n"/>
    </row>
    <row r="457" ht="15.75" customHeight="1" s="134">
      <c r="A457" s="2" t="n"/>
      <c r="B457" s="2" t="n"/>
      <c r="C457" s="2" t="n"/>
      <c r="D457" s="2" t="n"/>
      <c r="E457" s="2" t="n"/>
      <c r="F457" s="2" t="n"/>
    </row>
    <row r="458" ht="15.75" customHeight="1" s="134">
      <c r="A458" s="2" t="n"/>
      <c r="B458" s="2" t="n"/>
      <c r="C458" s="2" t="n"/>
      <c r="D458" s="2" t="n"/>
      <c r="E458" s="2" t="n"/>
      <c r="F458" s="2" t="n"/>
    </row>
    <row r="459" ht="15.75" customHeight="1" s="134">
      <c r="A459" s="2" t="n"/>
      <c r="B459" s="2" t="n"/>
      <c r="C459" s="2" t="n"/>
      <c r="D459" s="2" t="n"/>
      <c r="E459" s="2" t="n"/>
      <c r="F459" s="2" t="n"/>
    </row>
    <row r="460" ht="15.75" customHeight="1" s="134">
      <c r="A460" s="2" t="n"/>
      <c r="B460" s="2" t="n"/>
      <c r="C460" s="2" t="n"/>
      <c r="D460" s="2" t="n"/>
      <c r="E460" s="2" t="n"/>
      <c r="F460" s="2" t="n"/>
    </row>
    <row r="461" ht="15.75" customHeight="1" s="134">
      <c r="A461" s="2" t="n"/>
      <c r="B461" s="2" t="n"/>
      <c r="C461" s="2" t="n"/>
      <c r="D461" s="2" t="n"/>
      <c r="E461" s="2" t="n"/>
      <c r="F461" s="2" t="n"/>
    </row>
    <row r="462" ht="15.75" customHeight="1" s="134">
      <c r="A462" s="2" t="n"/>
      <c r="B462" s="2" t="n"/>
      <c r="C462" s="2" t="n"/>
      <c r="D462" s="2" t="n"/>
      <c r="E462" s="2" t="n"/>
      <c r="F462" s="2" t="n"/>
    </row>
    <row r="463" ht="15.75" customHeight="1" s="134">
      <c r="A463" s="2" t="n"/>
      <c r="B463" s="2" t="n"/>
      <c r="C463" s="2" t="n"/>
      <c r="D463" s="2" t="n"/>
      <c r="E463" s="2" t="n"/>
      <c r="F463" s="2" t="n"/>
    </row>
    <row r="464" ht="15.75" customHeight="1" s="134">
      <c r="A464" s="2" t="n"/>
      <c r="B464" s="2" t="n"/>
      <c r="C464" s="2" t="n"/>
      <c r="D464" s="2" t="n"/>
      <c r="E464" s="2" t="n"/>
      <c r="F464" s="2" t="n"/>
    </row>
    <row r="465" ht="15.75" customHeight="1" s="134">
      <c r="A465" s="2" t="n"/>
      <c r="B465" s="2" t="n"/>
      <c r="C465" s="2" t="n"/>
      <c r="D465" s="2" t="n"/>
      <c r="E465" s="2" t="n"/>
      <c r="F465" s="2" t="n"/>
    </row>
    <row r="466" ht="15.75" customHeight="1" s="134">
      <c r="A466" s="2" t="n"/>
      <c r="B466" s="2" t="n"/>
      <c r="C466" s="2" t="n"/>
      <c r="D466" s="2" t="n"/>
      <c r="E466" s="2" t="n"/>
      <c r="F466" s="2" t="n"/>
    </row>
    <row r="467" ht="15.75" customHeight="1" s="134">
      <c r="A467" s="2" t="n"/>
      <c r="B467" s="2" t="n"/>
      <c r="C467" s="2" t="n"/>
      <c r="D467" s="2" t="n"/>
      <c r="E467" s="2" t="n"/>
      <c r="F467" s="2" t="n"/>
    </row>
    <row r="468" ht="15.75" customHeight="1" s="134">
      <c r="A468" s="2" t="n"/>
      <c r="B468" s="2" t="n"/>
      <c r="C468" s="2" t="n"/>
      <c r="D468" s="2" t="n"/>
      <c r="E468" s="2" t="n"/>
      <c r="F468" s="2" t="n"/>
    </row>
    <row r="469" ht="15.75" customHeight="1" s="134">
      <c r="A469" s="2" t="n"/>
      <c r="B469" s="2" t="n"/>
      <c r="C469" s="2" t="n"/>
      <c r="D469" s="2" t="n"/>
      <c r="E469" s="2" t="n"/>
      <c r="F469" s="2" t="n"/>
    </row>
    <row r="470" ht="15.75" customHeight="1" s="134">
      <c r="A470" s="2" t="n"/>
      <c r="B470" s="2" t="n"/>
      <c r="C470" s="2" t="n"/>
      <c r="D470" s="2" t="n"/>
      <c r="E470" s="2" t="n"/>
      <c r="F470" s="2" t="n"/>
    </row>
    <row r="471" ht="15.75" customHeight="1" s="134">
      <c r="A471" s="2" t="n"/>
      <c r="B471" s="2" t="n"/>
      <c r="C471" s="2" t="n"/>
      <c r="D471" s="2" t="n"/>
      <c r="E471" s="2" t="n"/>
      <c r="F471" s="2" t="n"/>
    </row>
    <row r="472" ht="15.75" customHeight="1" s="134">
      <c r="A472" s="2" t="n"/>
      <c r="B472" s="2" t="n"/>
      <c r="C472" s="2" t="n"/>
      <c r="D472" s="2" t="n"/>
      <c r="E472" s="2" t="n"/>
      <c r="F472" s="2" t="n"/>
    </row>
    <row r="473" ht="15.75" customHeight="1" s="134">
      <c r="A473" s="2" t="n"/>
      <c r="B473" s="2" t="n"/>
      <c r="C473" s="2" t="n"/>
      <c r="D473" s="2" t="n"/>
      <c r="E473" s="2" t="n"/>
      <c r="F473" s="2" t="n"/>
    </row>
    <row r="474" ht="15.75" customHeight="1" s="134">
      <c r="A474" s="2" t="n"/>
      <c r="B474" s="2" t="n"/>
      <c r="C474" s="2" t="n"/>
      <c r="D474" s="2" t="n"/>
      <c r="E474" s="2" t="n"/>
      <c r="F474" s="2" t="n"/>
    </row>
    <row r="475" ht="15.75" customHeight="1" s="134">
      <c r="A475" s="2" t="n"/>
      <c r="B475" s="2" t="n"/>
      <c r="C475" s="2" t="n"/>
      <c r="D475" s="2" t="n"/>
      <c r="E475" s="2" t="n"/>
      <c r="F475" s="2" t="n"/>
    </row>
    <row r="476" ht="15.75" customHeight="1" s="134">
      <c r="A476" s="2" t="n"/>
      <c r="B476" s="2" t="n"/>
      <c r="C476" s="2" t="n"/>
      <c r="D476" s="2" t="n"/>
      <c r="E476" s="2" t="n"/>
      <c r="F476" s="2" t="n"/>
    </row>
    <row r="477" ht="15.75" customHeight="1" s="134">
      <c r="A477" s="2" t="n"/>
      <c r="B477" s="2" t="n"/>
      <c r="C477" s="2" t="n"/>
      <c r="D477" s="2" t="n"/>
      <c r="E477" s="2" t="n"/>
      <c r="F477" s="2" t="n"/>
    </row>
    <row r="478" ht="15.75" customHeight="1" s="134">
      <c r="A478" s="2" t="n"/>
      <c r="B478" s="2" t="n"/>
      <c r="C478" s="2" t="n"/>
      <c r="D478" s="2" t="n"/>
      <c r="E478" s="2" t="n"/>
      <c r="F478" s="2" t="n"/>
    </row>
    <row r="479" ht="15.75" customHeight="1" s="134">
      <c r="A479" s="2" t="n"/>
      <c r="B479" s="2" t="n"/>
      <c r="C479" s="2" t="n"/>
      <c r="D479" s="2" t="n"/>
      <c r="E479" s="2" t="n"/>
      <c r="F479" s="2" t="n"/>
    </row>
    <row r="480" ht="15.75" customHeight="1" s="134">
      <c r="A480" s="2" t="n"/>
      <c r="B480" s="2" t="n"/>
      <c r="C480" s="2" t="n"/>
      <c r="D480" s="2" t="n"/>
      <c r="E480" s="2" t="n"/>
      <c r="F480" s="2" t="n"/>
    </row>
    <row r="481" ht="15.75" customHeight="1" s="134">
      <c r="A481" s="2" t="n"/>
      <c r="B481" s="2" t="n"/>
      <c r="C481" s="2" t="n"/>
      <c r="D481" s="2" t="n"/>
      <c r="E481" s="2" t="n"/>
      <c r="F481" s="2" t="n"/>
    </row>
    <row r="482" ht="15.75" customHeight="1" s="134">
      <c r="A482" s="2" t="n"/>
      <c r="B482" s="2" t="n"/>
      <c r="C482" s="2" t="n"/>
      <c r="D482" s="2" t="n"/>
      <c r="E482" s="2" t="n"/>
      <c r="F482" s="2" t="n"/>
    </row>
    <row r="483" ht="15.75" customHeight="1" s="134">
      <c r="A483" s="2" t="n"/>
      <c r="B483" s="2" t="n"/>
      <c r="C483" s="2" t="n"/>
      <c r="D483" s="2" t="n"/>
      <c r="E483" s="2" t="n"/>
      <c r="F483" s="2" t="n"/>
    </row>
    <row r="484" ht="15.75" customHeight="1" s="134">
      <c r="A484" s="2" t="n"/>
      <c r="B484" s="2" t="n"/>
      <c r="C484" s="2" t="n"/>
      <c r="D484" s="2" t="n"/>
      <c r="E484" s="2" t="n"/>
      <c r="F484" s="2" t="n"/>
    </row>
    <row r="485" ht="15.75" customHeight="1" s="134">
      <c r="A485" s="2" t="n"/>
      <c r="B485" s="2" t="n"/>
      <c r="C485" s="2" t="n"/>
      <c r="D485" s="2" t="n"/>
      <c r="E485" s="2" t="n"/>
      <c r="F485" s="2" t="n"/>
    </row>
    <row r="486" ht="15.75" customHeight="1" s="134">
      <c r="A486" s="2" t="n"/>
      <c r="B486" s="2" t="n"/>
      <c r="C486" s="2" t="n"/>
      <c r="D486" s="2" t="n"/>
      <c r="E486" s="2" t="n"/>
      <c r="F486" s="2" t="n"/>
    </row>
    <row r="487" ht="15.75" customHeight="1" s="134">
      <c r="A487" s="2" t="n"/>
      <c r="B487" s="2" t="n"/>
      <c r="C487" s="2" t="n"/>
      <c r="D487" s="2" t="n"/>
      <c r="E487" s="2" t="n"/>
      <c r="F487" s="2" t="n"/>
    </row>
    <row r="488" ht="15.75" customHeight="1" s="134">
      <c r="A488" s="2" t="n"/>
      <c r="B488" s="2" t="n"/>
      <c r="C488" s="2" t="n"/>
      <c r="D488" s="2" t="n"/>
      <c r="E488" s="2" t="n"/>
      <c r="F488" s="2" t="n"/>
    </row>
    <row r="489" ht="15.75" customHeight="1" s="134">
      <c r="A489" s="2" t="n"/>
      <c r="B489" s="2" t="n"/>
      <c r="C489" s="2" t="n"/>
      <c r="D489" s="2" t="n"/>
      <c r="E489" s="2" t="n"/>
      <c r="F489" s="2" t="n"/>
    </row>
    <row r="490" ht="15.75" customHeight="1" s="134">
      <c r="A490" s="2" t="n"/>
      <c r="B490" s="2" t="n"/>
      <c r="C490" s="2" t="n"/>
      <c r="D490" s="2" t="n"/>
      <c r="E490" s="2" t="n"/>
      <c r="F490" s="2" t="n"/>
    </row>
    <row r="491" ht="15.75" customHeight="1" s="134">
      <c r="A491" s="2" t="n"/>
      <c r="B491" s="2" t="n"/>
      <c r="C491" s="2" t="n"/>
      <c r="D491" s="2" t="n"/>
      <c r="E491" s="2" t="n"/>
      <c r="F491" s="2" t="n"/>
    </row>
    <row r="492" ht="15.75" customHeight="1" s="134">
      <c r="A492" s="2" t="n"/>
      <c r="B492" s="2" t="n"/>
      <c r="C492" s="2" t="n"/>
      <c r="D492" s="2" t="n"/>
      <c r="E492" s="2" t="n"/>
      <c r="F492" s="2" t="n"/>
    </row>
    <row r="493" ht="15.75" customHeight="1" s="134">
      <c r="A493" s="2" t="n"/>
      <c r="B493" s="2" t="n"/>
      <c r="C493" s="2" t="n"/>
      <c r="D493" s="2" t="n"/>
      <c r="E493" s="2" t="n"/>
      <c r="F493" s="2" t="n"/>
    </row>
    <row r="494" ht="15.75" customHeight="1" s="134">
      <c r="A494" s="2" t="n"/>
      <c r="B494" s="2" t="n"/>
      <c r="C494" s="2" t="n"/>
      <c r="D494" s="2" t="n"/>
      <c r="E494" s="2" t="n"/>
      <c r="F494" s="2" t="n"/>
    </row>
    <row r="495" ht="15.75" customHeight="1" s="134">
      <c r="A495" s="2" t="n"/>
      <c r="B495" s="2" t="n"/>
      <c r="C495" s="2" t="n"/>
      <c r="D495" s="2" t="n"/>
      <c r="E495" s="2" t="n"/>
      <c r="F495" s="2" t="n"/>
    </row>
    <row r="496" ht="15.75" customHeight="1" s="134">
      <c r="A496" s="2" t="n"/>
      <c r="B496" s="2" t="n"/>
      <c r="C496" s="2" t="n"/>
      <c r="D496" s="2" t="n"/>
      <c r="E496" s="2" t="n"/>
      <c r="F496" s="2" t="n"/>
    </row>
    <row r="497" ht="15.75" customHeight="1" s="134">
      <c r="A497" s="2" t="n"/>
      <c r="B497" s="2" t="n"/>
      <c r="C497" s="2" t="n"/>
      <c r="D497" s="2" t="n"/>
      <c r="E497" s="2" t="n"/>
      <c r="F497" s="2" t="n"/>
    </row>
    <row r="498" ht="15.75" customHeight="1" s="134">
      <c r="A498" s="2" t="n"/>
      <c r="B498" s="2" t="n"/>
      <c r="C498" s="2" t="n"/>
      <c r="D498" s="2" t="n"/>
      <c r="E498" s="2" t="n"/>
      <c r="F498" s="2" t="n"/>
    </row>
    <row r="499" ht="15.75" customHeight="1" s="134">
      <c r="A499" s="2" t="n"/>
      <c r="B499" s="2" t="n"/>
      <c r="C499" s="2" t="n"/>
      <c r="D499" s="2" t="n"/>
      <c r="E499" s="2" t="n"/>
      <c r="F499" s="2" t="n"/>
    </row>
    <row r="500" ht="15.75" customHeight="1" s="134">
      <c r="A500" s="2" t="n"/>
      <c r="B500" s="2" t="n"/>
      <c r="C500" s="2" t="n"/>
      <c r="D500" s="2" t="n"/>
      <c r="E500" s="2" t="n"/>
      <c r="F500" s="2" t="n"/>
    </row>
    <row r="501" ht="15.75" customHeight="1" s="134">
      <c r="A501" s="2" t="n"/>
      <c r="B501" s="2" t="n"/>
      <c r="C501" s="2" t="n"/>
      <c r="D501" s="2" t="n"/>
      <c r="E501" s="2" t="n"/>
      <c r="F501" s="2" t="n"/>
    </row>
    <row r="502" ht="15.75" customHeight="1" s="134">
      <c r="A502" s="2" t="n"/>
      <c r="B502" s="2" t="n"/>
      <c r="C502" s="2" t="n"/>
      <c r="D502" s="2" t="n"/>
      <c r="E502" s="2" t="n"/>
      <c r="F502" s="2" t="n"/>
    </row>
    <row r="503" ht="15.75" customHeight="1" s="134">
      <c r="A503" s="2" t="n"/>
      <c r="B503" s="2" t="n"/>
      <c r="C503" s="2" t="n"/>
      <c r="D503" s="2" t="n"/>
      <c r="E503" s="2" t="n"/>
      <c r="F503" s="2" t="n"/>
    </row>
    <row r="504" ht="15.75" customHeight="1" s="134">
      <c r="A504" s="2" t="n"/>
      <c r="B504" s="2" t="n"/>
      <c r="C504" s="2" t="n"/>
      <c r="D504" s="2" t="n"/>
      <c r="E504" s="2" t="n"/>
      <c r="F504" s="2" t="n"/>
    </row>
    <row r="505" ht="15.75" customHeight="1" s="134">
      <c r="A505" s="2" t="n"/>
      <c r="B505" s="2" t="n"/>
      <c r="C505" s="2" t="n"/>
      <c r="D505" s="2" t="n"/>
      <c r="E505" s="2" t="n"/>
      <c r="F505" s="2" t="n"/>
    </row>
    <row r="506" ht="15.75" customHeight="1" s="134">
      <c r="A506" s="2" t="n"/>
      <c r="B506" s="2" t="n"/>
      <c r="C506" s="2" t="n"/>
      <c r="D506" s="2" t="n"/>
      <c r="E506" s="2" t="n"/>
      <c r="F506" s="2" t="n"/>
    </row>
    <row r="507" ht="15.75" customHeight="1" s="134">
      <c r="A507" s="2" t="n"/>
      <c r="B507" s="2" t="n"/>
      <c r="C507" s="2" t="n"/>
      <c r="D507" s="2" t="n"/>
      <c r="E507" s="2" t="n"/>
      <c r="F507" s="2" t="n"/>
    </row>
    <row r="508" ht="15.75" customHeight="1" s="134">
      <c r="A508" s="2" t="n"/>
      <c r="B508" s="2" t="n"/>
      <c r="C508" s="2" t="n"/>
      <c r="D508" s="2" t="n"/>
      <c r="E508" s="2" t="n"/>
      <c r="F508" s="2" t="n"/>
    </row>
    <row r="509" ht="15.75" customHeight="1" s="134">
      <c r="A509" s="2" t="n"/>
      <c r="B509" s="2" t="n"/>
      <c r="C509" s="2" t="n"/>
      <c r="D509" s="2" t="n"/>
      <c r="E509" s="2" t="n"/>
      <c r="F509" s="2" t="n"/>
    </row>
    <row r="510" ht="15.75" customHeight="1" s="134">
      <c r="A510" s="2" t="n"/>
      <c r="B510" s="2" t="n"/>
      <c r="C510" s="2" t="n"/>
      <c r="D510" s="2" t="n"/>
      <c r="E510" s="2" t="n"/>
      <c r="F510" s="2" t="n"/>
    </row>
    <row r="511" ht="15.75" customHeight="1" s="134">
      <c r="A511" s="2" t="n"/>
      <c r="B511" s="2" t="n"/>
      <c r="C511" s="2" t="n"/>
      <c r="D511" s="2" t="n"/>
      <c r="E511" s="2" t="n"/>
      <c r="F511" s="2" t="n"/>
    </row>
    <row r="512" ht="15.75" customHeight="1" s="134">
      <c r="A512" s="2" t="n"/>
      <c r="B512" s="2" t="n"/>
      <c r="C512" s="2" t="n"/>
      <c r="D512" s="2" t="n"/>
      <c r="E512" s="2" t="n"/>
      <c r="F512" s="2" t="n"/>
    </row>
    <row r="513" ht="15.75" customHeight="1" s="134">
      <c r="A513" s="2" t="n"/>
      <c r="B513" s="2" t="n"/>
      <c r="C513" s="2" t="n"/>
      <c r="D513" s="2" t="n"/>
      <c r="E513" s="2" t="n"/>
      <c r="F513" s="2" t="n"/>
    </row>
    <row r="514" ht="15.75" customHeight="1" s="134">
      <c r="A514" s="2" t="n"/>
      <c r="B514" s="2" t="n"/>
      <c r="C514" s="2" t="n"/>
      <c r="D514" s="2" t="n"/>
      <c r="E514" s="2" t="n"/>
      <c r="F514" s="2" t="n"/>
    </row>
    <row r="515" ht="15.75" customHeight="1" s="134">
      <c r="A515" s="2" t="n"/>
      <c r="B515" s="2" t="n"/>
      <c r="C515" s="2" t="n"/>
      <c r="D515" s="2" t="n"/>
      <c r="E515" s="2" t="n"/>
      <c r="F515" s="2" t="n"/>
    </row>
    <row r="516" ht="15.75" customHeight="1" s="134">
      <c r="A516" s="2" t="n"/>
      <c r="B516" s="2" t="n"/>
      <c r="C516" s="2" t="n"/>
      <c r="D516" s="2" t="n"/>
      <c r="E516" s="2" t="n"/>
      <c r="F516" s="2" t="n"/>
    </row>
    <row r="517" ht="15.75" customHeight="1" s="134">
      <c r="A517" s="2" t="n"/>
      <c r="B517" s="2" t="n"/>
      <c r="C517" s="2" t="n"/>
      <c r="D517" s="2" t="n"/>
      <c r="E517" s="2" t="n"/>
      <c r="F517" s="2" t="n"/>
    </row>
    <row r="518" ht="15.75" customHeight="1" s="134">
      <c r="A518" s="2" t="n"/>
      <c r="B518" s="2" t="n"/>
      <c r="C518" s="2" t="n"/>
      <c r="D518" s="2" t="n"/>
      <c r="E518" s="2" t="n"/>
      <c r="F518" s="2" t="n"/>
    </row>
    <row r="519" ht="15.75" customHeight="1" s="134">
      <c r="A519" s="2" t="n"/>
      <c r="B519" s="2" t="n"/>
      <c r="C519" s="2" t="n"/>
      <c r="D519" s="2" t="n"/>
      <c r="E519" s="2" t="n"/>
      <c r="F519" s="2" t="n"/>
    </row>
    <row r="520" ht="15.75" customHeight="1" s="134">
      <c r="A520" s="2" t="n"/>
      <c r="B520" s="2" t="n"/>
      <c r="C520" s="2" t="n"/>
      <c r="D520" s="2" t="n"/>
      <c r="E520" s="2" t="n"/>
      <c r="F520" s="2" t="n"/>
    </row>
    <row r="521" ht="15.75" customHeight="1" s="134">
      <c r="A521" s="2" t="n"/>
      <c r="B521" s="2" t="n"/>
      <c r="C521" s="2" t="n"/>
      <c r="D521" s="2" t="n"/>
      <c r="E521" s="2" t="n"/>
      <c r="F521" s="2" t="n"/>
    </row>
    <row r="522" ht="15.75" customHeight="1" s="134">
      <c r="A522" s="2" t="n"/>
      <c r="B522" s="2" t="n"/>
      <c r="C522" s="2" t="n"/>
      <c r="D522" s="2" t="n"/>
      <c r="E522" s="2" t="n"/>
      <c r="F522" s="2" t="n"/>
    </row>
    <row r="523" ht="15.75" customHeight="1" s="134">
      <c r="A523" s="2" t="n"/>
      <c r="B523" s="2" t="n"/>
      <c r="C523" s="2" t="n"/>
      <c r="D523" s="2" t="n"/>
      <c r="E523" s="2" t="n"/>
      <c r="F523" s="2" t="n"/>
    </row>
    <row r="524" ht="15.75" customHeight="1" s="134">
      <c r="A524" s="2" t="n"/>
      <c r="B524" s="2" t="n"/>
      <c r="C524" s="2" t="n"/>
      <c r="D524" s="2" t="n"/>
      <c r="E524" s="2" t="n"/>
      <c r="F524" s="2" t="n"/>
    </row>
    <row r="525" ht="15.75" customHeight="1" s="134">
      <c r="A525" s="2" t="n"/>
      <c r="B525" s="2" t="n"/>
      <c r="C525" s="2" t="n"/>
      <c r="D525" s="2" t="n"/>
      <c r="E525" s="2" t="n"/>
      <c r="F525" s="2" t="n"/>
    </row>
    <row r="526" ht="15.75" customHeight="1" s="134">
      <c r="A526" s="2" t="n"/>
      <c r="B526" s="2" t="n"/>
      <c r="C526" s="2" t="n"/>
      <c r="D526" s="2" t="n"/>
      <c r="E526" s="2" t="n"/>
      <c r="F526" s="2" t="n"/>
    </row>
    <row r="527" ht="15.75" customHeight="1" s="134">
      <c r="A527" s="2" t="n"/>
      <c r="B527" s="2" t="n"/>
      <c r="C527" s="2" t="n"/>
      <c r="D527" s="2" t="n"/>
      <c r="E527" s="2" t="n"/>
      <c r="F527" s="2" t="n"/>
    </row>
    <row r="528" ht="15.75" customHeight="1" s="134">
      <c r="A528" s="2" t="n"/>
      <c r="B528" s="2" t="n"/>
      <c r="C528" s="2" t="n"/>
      <c r="D528" s="2" t="n"/>
      <c r="E528" s="2" t="n"/>
      <c r="F528" s="2" t="n"/>
    </row>
    <row r="529" ht="15.75" customHeight="1" s="134">
      <c r="A529" s="2" t="n"/>
      <c r="B529" s="2" t="n"/>
      <c r="C529" s="2" t="n"/>
      <c r="D529" s="2" t="n"/>
      <c r="E529" s="2" t="n"/>
      <c r="F529" s="2" t="n"/>
    </row>
    <row r="530" ht="15.75" customHeight="1" s="134">
      <c r="A530" s="2" t="n"/>
      <c r="B530" s="2" t="n"/>
      <c r="C530" s="2" t="n"/>
      <c r="D530" s="2" t="n"/>
      <c r="E530" s="2" t="n"/>
      <c r="F530" s="2" t="n"/>
    </row>
    <row r="531" ht="15.75" customHeight="1" s="134">
      <c r="A531" s="2" t="n"/>
      <c r="B531" s="2" t="n"/>
      <c r="C531" s="2" t="n"/>
      <c r="D531" s="2" t="n"/>
      <c r="E531" s="2" t="n"/>
      <c r="F531" s="2" t="n"/>
    </row>
    <row r="532" ht="15.75" customHeight="1" s="134">
      <c r="A532" s="2" t="n"/>
      <c r="B532" s="2" t="n"/>
      <c r="C532" s="2" t="n"/>
      <c r="D532" s="2" t="n"/>
      <c r="E532" s="2" t="n"/>
      <c r="F532" s="2" t="n"/>
    </row>
    <row r="533" ht="15.75" customHeight="1" s="134">
      <c r="A533" s="2" t="n"/>
      <c r="B533" s="2" t="n"/>
      <c r="C533" s="2" t="n"/>
      <c r="D533" s="2" t="n"/>
      <c r="E533" s="2" t="n"/>
      <c r="F533" s="2" t="n"/>
    </row>
    <row r="534" ht="15.75" customHeight="1" s="134">
      <c r="A534" s="2" t="n"/>
      <c r="B534" s="2" t="n"/>
      <c r="C534" s="2" t="n"/>
      <c r="D534" s="2" t="n"/>
      <c r="E534" s="2" t="n"/>
      <c r="F534" s="2" t="n"/>
    </row>
    <row r="535" ht="15.75" customHeight="1" s="134">
      <c r="A535" s="2" t="n"/>
      <c r="B535" s="2" t="n"/>
      <c r="C535" s="2" t="n"/>
      <c r="D535" s="2" t="n"/>
      <c r="E535" s="2" t="n"/>
      <c r="F535" s="2" t="n"/>
    </row>
    <row r="536" ht="15.75" customHeight="1" s="134">
      <c r="A536" s="2" t="n"/>
      <c r="B536" s="2" t="n"/>
      <c r="C536" s="2" t="n"/>
      <c r="D536" s="2" t="n"/>
      <c r="E536" s="2" t="n"/>
      <c r="F536" s="2" t="n"/>
    </row>
    <row r="537" ht="15.75" customHeight="1" s="134">
      <c r="A537" s="2" t="n"/>
      <c r="B537" s="2" t="n"/>
      <c r="C537" s="2" t="n"/>
      <c r="D537" s="2" t="n"/>
      <c r="E537" s="2" t="n"/>
      <c r="F537" s="2" t="n"/>
    </row>
    <row r="538" ht="15.75" customHeight="1" s="134">
      <c r="A538" s="2" t="n"/>
      <c r="B538" s="2" t="n"/>
      <c r="C538" s="2" t="n"/>
      <c r="D538" s="2" t="n"/>
      <c r="E538" s="2" t="n"/>
      <c r="F538" s="2" t="n"/>
    </row>
    <row r="539" ht="15.75" customHeight="1" s="134">
      <c r="A539" s="2" t="n"/>
      <c r="B539" s="2" t="n"/>
      <c r="C539" s="2" t="n"/>
      <c r="D539" s="2" t="n"/>
      <c r="E539" s="2" t="n"/>
      <c r="F539" s="2" t="n"/>
    </row>
    <row r="540" ht="15.75" customHeight="1" s="134">
      <c r="A540" s="2" t="n"/>
      <c r="B540" s="2" t="n"/>
      <c r="C540" s="2" t="n"/>
      <c r="D540" s="2" t="n"/>
      <c r="E540" s="2" t="n"/>
      <c r="F540" s="2" t="n"/>
    </row>
    <row r="541" ht="15.75" customHeight="1" s="134">
      <c r="A541" s="2" t="n"/>
      <c r="B541" s="2" t="n"/>
      <c r="C541" s="2" t="n"/>
      <c r="D541" s="2" t="n"/>
      <c r="E541" s="2" t="n"/>
      <c r="F541" s="2" t="n"/>
    </row>
    <row r="542" ht="15.75" customHeight="1" s="134">
      <c r="A542" s="2" t="n"/>
      <c r="B542" s="2" t="n"/>
      <c r="C542" s="2" t="n"/>
      <c r="D542" s="2" t="n"/>
      <c r="E542" s="2" t="n"/>
      <c r="F542" s="2" t="n"/>
    </row>
    <row r="543" ht="15.75" customHeight="1" s="134">
      <c r="A543" s="2" t="n"/>
      <c r="B543" s="2" t="n"/>
      <c r="C543" s="2" t="n"/>
      <c r="D543" s="2" t="n"/>
      <c r="E543" s="2" t="n"/>
      <c r="F543" s="2" t="n"/>
    </row>
    <row r="544" ht="15.75" customHeight="1" s="134">
      <c r="A544" s="2" t="n"/>
      <c r="B544" s="2" t="n"/>
      <c r="C544" s="2" t="n"/>
      <c r="D544" s="2" t="n"/>
      <c r="E544" s="2" t="n"/>
      <c r="F544" s="2" t="n"/>
    </row>
    <row r="545" ht="15.75" customHeight="1" s="134">
      <c r="A545" s="2" t="n"/>
      <c r="B545" s="2" t="n"/>
      <c r="C545" s="2" t="n"/>
      <c r="D545" s="2" t="n"/>
      <c r="E545" s="2" t="n"/>
      <c r="F545" s="2" t="n"/>
    </row>
    <row r="546" ht="15.75" customHeight="1" s="134">
      <c r="A546" s="2" t="n"/>
      <c r="B546" s="2" t="n"/>
      <c r="C546" s="2" t="n"/>
      <c r="D546" s="2" t="n"/>
      <c r="E546" s="2" t="n"/>
      <c r="F546" s="2" t="n"/>
    </row>
    <row r="547" ht="15.75" customHeight="1" s="134">
      <c r="A547" s="2" t="n"/>
      <c r="B547" s="2" t="n"/>
      <c r="C547" s="2" t="n"/>
      <c r="D547" s="2" t="n"/>
      <c r="E547" s="2" t="n"/>
      <c r="F547" s="2" t="n"/>
    </row>
    <row r="548" ht="15.75" customHeight="1" s="134">
      <c r="A548" s="2" t="n"/>
      <c r="B548" s="2" t="n"/>
      <c r="C548" s="2" t="n"/>
      <c r="D548" s="2" t="n"/>
      <c r="E548" s="2" t="n"/>
      <c r="F548" s="2" t="n"/>
    </row>
    <row r="549" ht="15.75" customHeight="1" s="134">
      <c r="A549" s="2" t="n"/>
      <c r="B549" s="2" t="n"/>
      <c r="C549" s="2" t="n"/>
      <c r="D549" s="2" t="n"/>
      <c r="E549" s="2" t="n"/>
      <c r="F549" s="2" t="n"/>
    </row>
    <row r="550" ht="15.75" customHeight="1" s="134">
      <c r="A550" s="2" t="n"/>
      <c r="B550" s="2" t="n"/>
      <c r="C550" s="2" t="n"/>
      <c r="D550" s="2" t="n"/>
      <c r="E550" s="2" t="n"/>
      <c r="F550" s="2" t="n"/>
    </row>
    <row r="551" ht="15.75" customHeight="1" s="134">
      <c r="A551" s="2" t="n"/>
      <c r="B551" s="2" t="n"/>
      <c r="C551" s="2" t="n"/>
      <c r="D551" s="2" t="n"/>
      <c r="E551" s="2" t="n"/>
      <c r="F551" s="2" t="n"/>
    </row>
    <row r="552" ht="15.75" customHeight="1" s="134">
      <c r="A552" s="2" t="n"/>
      <c r="B552" s="2" t="n"/>
      <c r="C552" s="2" t="n"/>
      <c r="D552" s="2" t="n"/>
      <c r="E552" s="2" t="n"/>
      <c r="F552" s="2" t="n"/>
    </row>
    <row r="553" ht="15.75" customHeight="1" s="134">
      <c r="A553" s="2" t="n"/>
      <c r="B553" s="2" t="n"/>
      <c r="C553" s="2" t="n"/>
      <c r="D553" s="2" t="n"/>
      <c r="E553" s="2" t="n"/>
      <c r="F553" s="2" t="n"/>
    </row>
    <row r="554" ht="15.75" customHeight="1" s="134">
      <c r="A554" s="2" t="n"/>
      <c r="B554" s="2" t="n"/>
      <c r="C554" s="2" t="n"/>
      <c r="D554" s="2" t="n"/>
      <c r="E554" s="2" t="n"/>
      <c r="F554" s="2" t="n"/>
    </row>
    <row r="555" ht="15.75" customHeight="1" s="134">
      <c r="A555" s="2" t="n"/>
      <c r="B555" s="2" t="n"/>
      <c r="C555" s="2" t="n"/>
      <c r="D555" s="2" t="n"/>
      <c r="E555" s="2" t="n"/>
      <c r="F555" s="2" t="n"/>
    </row>
    <row r="556" ht="15.75" customHeight="1" s="134">
      <c r="A556" s="2" t="n"/>
      <c r="B556" s="2" t="n"/>
      <c r="C556" s="2" t="n"/>
      <c r="D556" s="2" t="n"/>
      <c r="E556" s="2" t="n"/>
      <c r="F556" s="2" t="n"/>
    </row>
    <row r="557" ht="15.75" customHeight="1" s="134">
      <c r="A557" s="2" t="n"/>
      <c r="B557" s="2" t="n"/>
      <c r="C557" s="2" t="n"/>
      <c r="D557" s="2" t="n"/>
      <c r="E557" s="2" t="n"/>
      <c r="F557" s="2" t="n"/>
    </row>
    <row r="558" ht="15.75" customHeight="1" s="134">
      <c r="A558" s="2" t="n"/>
      <c r="B558" s="2" t="n"/>
      <c r="C558" s="2" t="n"/>
      <c r="D558" s="2" t="n"/>
      <c r="E558" s="2" t="n"/>
      <c r="F558" s="2" t="n"/>
    </row>
    <row r="559" ht="15.75" customHeight="1" s="134">
      <c r="A559" s="2" t="n"/>
      <c r="B559" s="2" t="n"/>
      <c r="C559" s="2" t="n"/>
      <c r="D559" s="2" t="n"/>
      <c r="E559" s="2" t="n"/>
      <c r="F559" s="2" t="n"/>
    </row>
    <row r="560" ht="15.75" customHeight="1" s="134">
      <c r="A560" s="2" t="n"/>
      <c r="B560" s="2" t="n"/>
      <c r="C560" s="2" t="n"/>
      <c r="D560" s="2" t="n"/>
      <c r="E560" s="2" t="n"/>
      <c r="F560" s="2" t="n"/>
    </row>
    <row r="561" ht="15.75" customHeight="1" s="134">
      <c r="A561" s="2" t="n"/>
      <c r="B561" s="2" t="n"/>
      <c r="C561" s="2" t="n"/>
      <c r="D561" s="2" t="n"/>
      <c r="E561" s="2" t="n"/>
      <c r="F561" s="2" t="n"/>
    </row>
    <row r="562" ht="15.75" customHeight="1" s="134">
      <c r="A562" s="2" t="n"/>
      <c r="B562" s="2" t="n"/>
      <c r="C562" s="2" t="n"/>
      <c r="D562" s="2" t="n"/>
      <c r="E562" s="2" t="n"/>
      <c r="F562" s="2" t="n"/>
    </row>
    <row r="563" ht="15.75" customHeight="1" s="134">
      <c r="A563" s="2" t="n"/>
      <c r="B563" s="2" t="n"/>
      <c r="C563" s="2" t="n"/>
      <c r="D563" s="2" t="n"/>
      <c r="E563" s="2" t="n"/>
      <c r="F563" s="2" t="n"/>
    </row>
    <row r="564" ht="15.75" customHeight="1" s="134">
      <c r="A564" s="2" t="n"/>
      <c r="B564" s="2" t="n"/>
      <c r="C564" s="2" t="n"/>
      <c r="D564" s="2" t="n"/>
      <c r="E564" s="2" t="n"/>
      <c r="F564" s="2" t="n"/>
    </row>
    <row r="565" ht="15.75" customHeight="1" s="134">
      <c r="A565" s="2" t="n"/>
      <c r="B565" s="2" t="n"/>
      <c r="C565" s="2" t="n"/>
      <c r="D565" s="2" t="n"/>
      <c r="E565" s="2" t="n"/>
      <c r="F565" s="2" t="n"/>
    </row>
    <row r="566" ht="15.75" customHeight="1" s="134">
      <c r="A566" s="2" t="n"/>
      <c r="B566" s="2" t="n"/>
      <c r="C566" s="2" t="n"/>
      <c r="D566" s="2" t="n"/>
      <c r="E566" s="2" t="n"/>
      <c r="F566" s="2" t="n"/>
    </row>
    <row r="567" ht="15.75" customHeight="1" s="134">
      <c r="A567" s="2" t="n"/>
      <c r="B567" s="2" t="n"/>
      <c r="C567" s="2" t="n"/>
      <c r="D567" s="2" t="n"/>
      <c r="E567" s="2" t="n"/>
      <c r="F567" s="2" t="n"/>
    </row>
    <row r="568" ht="15.75" customHeight="1" s="134">
      <c r="A568" s="2" t="n"/>
      <c r="B568" s="2" t="n"/>
      <c r="C568" s="2" t="n"/>
      <c r="D568" s="2" t="n"/>
      <c r="E568" s="2" t="n"/>
      <c r="F568" s="2" t="n"/>
    </row>
    <row r="569" ht="15.75" customHeight="1" s="134">
      <c r="A569" s="2" t="n"/>
      <c r="B569" s="2" t="n"/>
      <c r="C569" s="2" t="n"/>
      <c r="D569" s="2" t="n"/>
      <c r="E569" s="2" t="n"/>
      <c r="F569" s="2" t="n"/>
    </row>
    <row r="570" ht="15.75" customHeight="1" s="134">
      <c r="A570" s="2" t="n"/>
      <c r="B570" s="2" t="n"/>
      <c r="C570" s="2" t="n"/>
      <c r="D570" s="2" t="n"/>
      <c r="E570" s="2" t="n"/>
      <c r="F570" s="2" t="n"/>
    </row>
    <row r="571" ht="15.75" customHeight="1" s="134">
      <c r="A571" s="2" t="n"/>
      <c r="B571" s="2" t="n"/>
      <c r="C571" s="2" t="n"/>
      <c r="D571" s="2" t="n"/>
      <c r="E571" s="2" t="n"/>
      <c r="F571" s="2" t="n"/>
    </row>
    <row r="572" ht="15.75" customHeight="1" s="134">
      <c r="A572" s="2" t="n"/>
      <c r="B572" s="2" t="n"/>
      <c r="C572" s="2" t="n"/>
      <c r="D572" s="2" t="n"/>
      <c r="E572" s="2" t="n"/>
      <c r="F572" s="2" t="n"/>
    </row>
    <row r="573" ht="15.75" customHeight="1" s="134">
      <c r="A573" s="2" t="n"/>
      <c r="B573" s="2" t="n"/>
      <c r="C573" s="2" t="n"/>
      <c r="D573" s="2" t="n"/>
      <c r="E573" s="2" t="n"/>
      <c r="F573" s="2" t="n"/>
    </row>
    <row r="574" ht="15.75" customHeight="1" s="134">
      <c r="A574" s="2" t="n"/>
      <c r="B574" s="2" t="n"/>
      <c r="C574" s="2" t="n"/>
      <c r="D574" s="2" t="n"/>
      <c r="E574" s="2" t="n"/>
      <c r="F574" s="2" t="n"/>
    </row>
    <row r="575" ht="15.75" customHeight="1" s="134">
      <c r="A575" s="2" t="n"/>
      <c r="B575" s="2" t="n"/>
      <c r="C575" s="2" t="n"/>
      <c r="D575" s="2" t="n"/>
      <c r="E575" s="2" t="n"/>
      <c r="F575" s="2" t="n"/>
    </row>
    <row r="576" ht="15.75" customHeight="1" s="134">
      <c r="A576" s="2" t="n"/>
      <c r="B576" s="2" t="n"/>
      <c r="C576" s="2" t="n"/>
      <c r="D576" s="2" t="n"/>
      <c r="E576" s="2" t="n"/>
      <c r="F576" s="2" t="n"/>
    </row>
    <row r="577" ht="15.75" customHeight="1" s="134">
      <c r="A577" s="2" t="n"/>
      <c r="B577" s="2" t="n"/>
      <c r="C577" s="2" t="n"/>
      <c r="D577" s="2" t="n"/>
      <c r="E577" s="2" t="n"/>
      <c r="F577" s="2" t="n"/>
    </row>
    <row r="578" ht="15.75" customHeight="1" s="134">
      <c r="A578" s="2" t="n"/>
      <c r="B578" s="2" t="n"/>
      <c r="C578" s="2" t="n"/>
      <c r="D578" s="2" t="n"/>
      <c r="E578" s="2" t="n"/>
      <c r="F578" s="2" t="n"/>
    </row>
    <row r="579" ht="15.75" customHeight="1" s="134">
      <c r="A579" s="2" t="n"/>
      <c r="B579" s="2" t="n"/>
      <c r="C579" s="2" t="n"/>
      <c r="D579" s="2" t="n"/>
      <c r="E579" s="2" t="n"/>
      <c r="F579" s="2" t="n"/>
    </row>
    <row r="580" ht="15.75" customHeight="1" s="134">
      <c r="A580" s="2" t="n"/>
      <c r="B580" s="2" t="n"/>
      <c r="C580" s="2" t="n"/>
      <c r="D580" s="2" t="n"/>
      <c r="E580" s="2" t="n"/>
      <c r="F580" s="2" t="n"/>
    </row>
    <row r="581" ht="15.75" customHeight="1" s="134">
      <c r="A581" s="2" t="n"/>
      <c r="B581" s="2" t="n"/>
      <c r="C581" s="2" t="n"/>
      <c r="D581" s="2" t="n"/>
      <c r="E581" s="2" t="n"/>
      <c r="F581" s="2" t="n"/>
    </row>
    <row r="582" ht="15.75" customHeight="1" s="134">
      <c r="A582" s="2" t="n"/>
      <c r="B582" s="2" t="n"/>
      <c r="C582" s="2" t="n"/>
      <c r="D582" s="2" t="n"/>
      <c r="E582" s="2" t="n"/>
      <c r="F582" s="2" t="n"/>
    </row>
    <row r="583" ht="15.75" customHeight="1" s="134">
      <c r="A583" s="2" t="n"/>
      <c r="B583" s="2" t="n"/>
      <c r="C583" s="2" t="n"/>
      <c r="D583" s="2" t="n"/>
      <c r="E583" s="2" t="n"/>
      <c r="F583" s="2" t="n"/>
    </row>
    <row r="584" ht="15.75" customHeight="1" s="134">
      <c r="A584" s="2" t="n"/>
      <c r="B584" s="2" t="n"/>
      <c r="C584" s="2" t="n"/>
      <c r="D584" s="2" t="n"/>
      <c r="E584" s="2" t="n"/>
      <c r="F584" s="2" t="n"/>
    </row>
    <row r="585" ht="15.75" customHeight="1" s="134">
      <c r="A585" s="2" t="n"/>
      <c r="B585" s="2" t="n"/>
      <c r="C585" s="2" t="n"/>
      <c r="D585" s="2" t="n"/>
      <c r="E585" s="2" t="n"/>
      <c r="F585" s="2" t="n"/>
    </row>
    <row r="586" ht="15.75" customHeight="1" s="134">
      <c r="A586" s="2" t="n"/>
      <c r="B586" s="2" t="n"/>
      <c r="C586" s="2" t="n"/>
      <c r="D586" s="2" t="n"/>
      <c r="E586" s="2" t="n"/>
      <c r="F586" s="2" t="n"/>
    </row>
    <row r="587" ht="15.75" customHeight="1" s="134">
      <c r="A587" s="2" t="n"/>
      <c r="B587" s="2" t="n"/>
      <c r="C587" s="2" t="n"/>
      <c r="D587" s="2" t="n"/>
      <c r="E587" s="2" t="n"/>
      <c r="F587" s="2" t="n"/>
    </row>
    <row r="588" ht="15.75" customHeight="1" s="134">
      <c r="A588" s="2" t="n"/>
      <c r="B588" s="2" t="n"/>
      <c r="C588" s="2" t="n"/>
      <c r="D588" s="2" t="n"/>
      <c r="E588" s="2" t="n"/>
      <c r="F588" s="2" t="n"/>
    </row>
    <row r="589" ht="15.75" customHeight="1" s="134">
      <c r="A589" s="2" t="n"/>
      <c r="B589" s="2" t="n"/>
      <c r="C589" s="2" t="n"/>
      <c r="D589" s="2" t="n"/>
      <c r="E589" s="2" t="n"/>
      <c r="F589" s="2" t="n"/>
    </row>
    <row r="590" ht="15.75" customHeight="1" s="134">
      <c r="A590" s="2" t="n"/>
      <c r="B590" s="2" t="n"/>
      <c r="C590" s="2" t="n"/>
      <c r="D590" s="2" t="n"/>
      <c r="E590" s="2" t="n"/>
      <c r="F590" s="2" t="n"/>
    </row>
    <row r="591" ht="15.75" customHeight="1" s="134">
      <c r="A591" s="2" t="n"/>
      <c r="B591" s="2" t="n"/>
      <c r="C591" s="2" t="n"/>
      <c r="D591" s="2" t="n"/>
      <c r="E591" s="2" t="n"/>
      <c r="F591" s="2" t="n"/>
    </row>
    <row r="592" ht="15.75" customHeight="1" s="134">
      <c r="A592" s="2" t="n"/>
      <c r="B592" s="2" t="n"/>
      <c r="C592" s="2" t="n"/>
      <c r="D592" s="2" t="n"/>
      <c r="E592" s="2" t="n"/>
      <c r="F592" s="2" t="n"/>
    </row>
    <row r="593" ht="15.75" customHeight="1" s="134">
      <c r="A593" s="2" t="n"/>
      <c r="B593" s="2" t="n"/>
      <c r="C593" s="2" t="n"/>
      <c r="D593" s="2" t="n"/>
      <c r="E593" s="2" t="n"/>
      <c r="F593" s="2" t="n"/>
    </row>
    <row r="594" ht="15.75" customHeight="1" s="134">
      <c r="A594" s="2" t="n"/>
      <c r="B594" s="2" t="n"/>
      <c r="C594" s="2" t="n"/>
      <c r="D594" s="2" t="n"/>
      <c r="E594" s="2" t="n"/>
      <c r="F594" s="2" t="n"/>
    </row>
    <row r="595" ht="15.75" customHeight="1" s="134">
      <c r="A595" s="2" t="n"/>
      <c r="B595" s="2" t="n"/>
      <c r="C595" s="2" t="n"/>
      <c r="D595" s="2" t="n"/>
      <c r="E595" s="2" t="n"/>
      <c r="F595" s="2" t="n"/>
    </row>
    <row r="596" ht="15.75" customHeight="1" s="134">
      <c r="A596" s="2" t="n"/>
      <c r="B596" s="2" t="n"/>
      <c r="C596" s="2" t="n"/>
      <c r="D596" s="2" t="n"/>
      <c r="E596" s="2" t="n"/>
      <c r="F596" s="2" t="n"/>
    </row>
    <row r="597" ht="15.75" customHeight="1" s="134">
      <c r="A597" s="2" t="n"/>
      <c r="B597" s="2" t="n"/>
      <c r="C597" s="2" t="n"/>
      <c r="D597" s="2" t="n"/>
      <c r="E597" s="2" t="n"/>
      <c r="F597" s="2" t="n"/>
    </row>
    <row r="598" ht="15.75" customHeight="1" s="134">
      <c r="A598" s="2" t="n"/>
      <c r="B598" s="2" t="n"/>
      <c r="C598" s="2" t="n"/>
      <c r="D598" s="2" t="n"/>
      <c r="E598" s="2" t="n"/>
      <c r="F598" s="2" t="n"/>
    </row>
    <row r="599" ht="15.75" customHeight="1" s="134">
      <c r="A599" s="2" t="n"/>
      <c r="B599" s="2" t="n"/>
      <c r="C599" s="2" t="n"/>
      <c r="D599" s="2" t="n"/>
      <c r="E599" s="2" t="n"/>
      <c r="F599" s="2" t="n"/>
    </row>
    <row r="600" ht="15.75" customHeight="1" s="134">
      <c r="A600" s="2" t="n"/>
      <c r="B600" s="2" t="n"/>
      <c r="C600" s="2" t="n"/>
      <c r="D600" s="2" t="n"/>
      <c r="E600" s="2" t="n"/>
      <c r="F600" s="2" t="n"/>
    </row>
    <row r="601" ht="15.75" customHeight="1" s="134">
      <c r="A601" s="2" t="n"/>
      <c r="B601" s="2" t="n"/>
      <c r="C601" s="2" t="n"/>
      <c r="D601" s="2" t="n"/>
      <c r="E601" s="2" t="n"/>
      <c r="F601" s="2" t="n"/>
    </row>
    <row r="602" ht="15.75" customHeight="1" s="134">
      <c r="A602" s="2" t="n"/>
      <c r="B602" s="2" t="n"/>
      <c r="C602" s="2" t="n"/>
      <c r="D602" s="2" t="n"/>
      <c r="E602" s="2" t="n"/>
      <c r="F602" s="2" t="n"/>
    </row>
    <row r="603" ht="15.75" customHeight="1" s="134">
      <c r="A603" s="2" t="n"/>
      <c r="B603" s="2" t="n"/>
      <c r="C603" s="2" t="n"/>
      <c r="D603" s="2" t="n"/>
      <c r="E603" s="2" t="n"/>
      <c r="F603" s="2" t="n"/>
    </row>
    <row r="604" ht="15.75" customHeight="1" s="134">
      <c r="A604" s="2" t="n"/>
      <c r="B604" s="2" t="n"/>
      <c r="C604" s="2" t="n"/>
      <c r="D604" s="2" t="n"/>
      <c r="E604" s="2" t="n"/>
      <c r="F604" s="2" t="n"/>
    </row>
    <row r="605" ht="15.75" customHeight="1" s="134">
      <c r="A605" s="2" t="n"/>
      <c r="B605" s="2" t="n"/>
      <c r="C605" s="2" t="n"/>
      <c r="D605" s="2" t="n"/>
      <c r="E605" s="2" t="n"/>
      <c r="F605" s="2" t="n"/>
    </row>
    <row r="606" ht="15.75" customHeight="1" s="134">
      <c r="A606" s="2" t="n"/>
      <c r="B606" s="2" t="n"/>
      <c r="C606" s="2" t="n"/>
      <c r="D606" s="2" t="n"/>
      <c r="E606" s="2" t="n"/>
      <c r="F606" s="2" t="n"/>
    </row>
    <row r="607" ht="15.75" customHeight="1" s="134">
      <c r="A607" s="2" t="n"/>
      <c r="B607" s="2" t="n"/>
      <c r="C607" s="2" t="n"/>
      <c r="D607" s="2" t="n"/>
      <c r="E607" s="2" t="n"/>
      <c r="F607" s="2" t="n"/>
    </row>
    <row r="608" ht="15.75" customHeight="1" s="134">
      <c r="A608" s="2" t="n"/>
      <c r="B608" s="2" t="n"/>
      <c r="C608" s="2" t="n"/>
      <c r="D608" s="2" t="n"/>
      <c r="E608" s="2" t="n"/>
      <c r="F608" s="2" t="n"/>
    </row>
    <row r="609" ht="15.75" customHeight="1" s="134">
      <c r="A609" s="2" t="n"/>
      <c r="B609" s="2" t="n"/>
      <c r="C609" s="2" t="n"/>
      <c r="D609" s="2" t="n"/>
      <c r="E609" s="2" t="n"/>
      <c r="F609" s="2" t="n"/>
    </row>
    <row r="610" ht="15.75" customHeight="1" s="134">
      <c r="A610" s="2" t="n"/>
      <c r="B610" s="2" t="n"/>
      <c r="C610" s="2" t="n"/>
      <c r="D610" s="2" t="n"/>
      <c r="E610" s="2" t="n"/>
      <c r="F610" s="2" t="n"/>
    </row>
    <row r="611" ht="15.75" customHeight="1" s="134">
      <c r="A611" s="2" t="n"/>
      <c r="B611" s="2" t="n"/>
      <c r="C611" s="2" t="n"/>
      <c r="D611" s="2" t="n"/>
      <c r="E611" s="2" t="n"/>
      <c r="F611" s="2" t="n"/>
    </row>
    <row r="612" ht="15.75" customHeight="1" s="134">
      <c r="A612" s="2" t="n"/>
      <c r="B612" s="2" t="n"/>
      <c r="C612" s="2" t="n"/>
      <c r="D612" s="2" t="n"/>
      <c r="E612" s="2" t="n"/>
      <c r="F612" s="2" t="n"/>
    </row>
    <row r="613" ht="15.75" customHeight="1" s="134">
      <c r="A613" s="2" t="n"/>
      <c r="B613" s="2" t="n"/>
      <c r="C613" s="2" t="n"/>
      <c r="D613" s="2" t="n"/>
      <c r="E613" s="2" t="n"/>
      <c r="F613" s="2" t="n"/>
    </row>
    <row r="614" ht="15.75" customHeight="1" s="134">
      <c r="A614" s="2" t="n"/>
      <c r="B614" s="2" t="n"/>
      <c r="C614" s="2" t="n"/>
      <c r="D614" s="2" t="n"/>
      <c r="E614" s="2" t="n"/>
      <c r="F614" s="2" t="n"/>
    </row>
    <row r="615" ht="15.75" customHeight="1" s="134">
      <c r="A615" s="2" t="n"/>
      <c r="B615" s="2" t="n"/>
      <c r="C615" s="2" t="n"/>
      <c r="D615" s="2" t="n"/>
      <c r="E615" s="2" t="n"/>
      <c r="F615" s="2" t="n"/>
    </row>
    <row r="616" ht="15.75" customHeight="1" s="134">
      <c r="A616" s="2" t="n"/>
      <c r="B616" s="2" t="n"/>
      <c r="C616" s="2" t="n"/>
      <c r="D616" s="2" t="n"/>
      <c r="E616" s="2" t="n"/>
      <c r="F616" s="2" t="n"/>
    </row>
    <row r="617" ht="15.75" customHeight="1" s="134">
      <c r="A617" s="2" t="n"/>
      <c r="B617" s="2" t="n"/>
      <c r="C617" s="2" t="n"/>
      <c r="D617" s="2" t="n"/>
      <c r="E617" s="2" t="n"/>
      <c r="F617" s="2" t="n"/>
    </row>
    <row r="618" ht="15.75" customHeight="1" s="134">
      <c r="A618" s="2" t="n"/>
      <c r="B618" s="2" t="n"/>
      <c r="C618" s="2" t="n"/>
      <c r="D618" s="2" t="n"/>
      <c r="E618" s="2" t="n"/>
      <c r="F618" s="2" t="n"/>
    </row>
    <row r="619" ht="15.75" customHeight="1" s="134">
      <c r="A619" s="2" t="n"/>
      <c r="B619" s="2" t="n"/>
      <c r="C619" s="2" t="n"/>
      <c r="D619" s="2" t="n"/>
      <c r="E619" s="2" t="n"/>
      <c r="F619" s="2" t="n"/>
    </row>
    <row r="620" ht="15.75" customHeight="1" s="134">
      <c r="A620" s="2" t="n"/>
      <c r="B620" s="2" t="n"/>
      <c r="C620" s="2" t="n"/>
      <c r="D620" s="2" t="n"/>
      <c r="E620" s="2" t="n"/>
      <c r="F620" s="2" t="n"/>
    </row>
    <row r="621" ht="15.75" customHeight="1" s="134">
      <c r="A621" s="2" t="n"/>
      <c r="B621" s="2" t="n"/>
      <c r="C621" s="2" t="n"/>
      <c r="D621" s="2" t="n"/>
      <c r="E621" s="2" t="n"/>
      <c r="F621" s="2" t="n"/>
    </row>
    <row r="622" ht="15.75" customHeight="1" s="134">
      <c r="A622" s="2" t="n"/>
      <c r="B622" s="2" t="n"/>
      <c r="C622" s="2" t="n"/>
      <c r="D622" s="2" t="n"/>
      <c r="E622" s="2" t="n"/>
      <c r="F622" s="2" t="n"/>
    </row>
    <row r="623" ht="15.75" customHeight="1" s="134">
      <c r="A623" s="2" t="n"/>
      <c r="B623" s="2" t="n"/>
      <c r="C623" s="2" t="n"/>
      <c r="D623" s="2" t="n"/>
      <c r="E623" s="2" t="n"/>
      <c r="F623" s="2" t="n"/>
    </row>
    <row r="624" ht="15.75" customHeight="1" s="134">
      <c r="A624" s="2" t="n"/>
      <c r="B624" s="2" t="n"/>
      <c r="C624" s="2" t="n"/>
      <c r="D624" s="2" t="n"/>
      <c r="E624" s="2" t="n"/>
      <c r="F624" s="2" t="n"/>
    </row>
    <row r="625" ht="15.75" customHeight="1" s="134">
      <c r="A625" s="2" t="n"/>
      <c r="B625" s="2" t="n"/>
      <c r="C625" s="2" t="n"/>
      <c r="D625" s="2" t="n"/>
      <c r="E625" s="2" t="n"/>
      <c r="F625" s="2" t="n"/>
    </row>
    <row r="626" ht="15.75" customHeight="1" s="134">
      <c r="A626" s="2" t="n"/>
      <c r="B626" s="2" t="n"/>
      <c r="C626" s="2" t="n"/>
      <c r="D626" s="2" t="n"/>
      <c r="E626" s="2" t="n"/>
      <c r="F626" s="2" t="n"/>
    </row>
    <row r="627" ht="15.75" customHeight="1" s="134">
      <c r="A627" s="2" t="n"/>
      <c r="B627" s="2" t="n"/>
      <c r="C627" s="2" t="n"/>
      <c r="D627" s="2" t="n"/>
      <c r="E627" s="2" t="n"/>
      <c r="F627" s="2" t="n"/>
    </row>
    <row r="628" ht="15.75" customHeight="1" s="134">
      <c r="A628" s="2" t="n"/>
      <c r="B628" s="2" t="n"/>
      <c r="C628" s="2" t="n"/>
      <c r="D628" s="2" t="n"/>
      <c r="E628" s="2" t="n"/>
      <c r="F628" s="2" t="n"/>
    </row>
    <row r="629" ht="15.75" customHeight="1" s="134">
      <c r="A629" s="2" t="n"/>
      <c r="B629" s="2" t="n"/>
      <c r="C629" s="2" t="n"/>
      <c r="D629" s="2" t="n"/>
      <c r="E629" s="2" t="n"/>
      <c r="F629" s="2" t="n"/>
    </row>
    <row r="630" ht="15.75" customHeight="1" s="134">
      <c r="A630" s="2" t="n"/>
      <c r="B630" s="2" t="n"/>
      <c r="C630" s="2" t="n"/>
      <c r="D630" s="2" t="n"/>
      <c r="E630" s="2" t="n"/>
      <c r="F630" s="2" t="n"/>
    </row>
    <row r="631" ht="15.75" customHeight="1" s="134">
      <c r="A631" s="2" t="n"/>
      <c r="B631" s="2" t="n"/>
      <c r="C631" s="2" t="n"/>
      <c r="D631" s="2" t="n"/>
      <c r="E631" s="2" t="n"/>
      <c r="F631" s="2" t="n"/>
    </row>
    <row r="632" ht="15.75" customHeight="1" s="134">
      <c r="A632" s="2" t="n"/>
      <c r="B632" s="2" t="n"/>
      <c r="C632" s="2" t="n"/>
      <c r="D632" s="2" t="n"/>
      <c r="E632" s="2" t="n"/>
      <c r="F632" s="2" t="n"/>
    </row>
    <row r="633" ht="15.75" customHeight="1" s="134">
      <c r="A633" s="2" t="n"/>
      <c r="B633" s="2" t="n"/>
      <c r="C633" s="2" t="n"/>
      <c r="D633" s="2" t="n"/>
      <c r="E633" s="2" t="n"/>
      <c r="F633" s="2" t="n"/>
    </row>
    <row r="634" ht="15.75" customHeight="1" s="134">
      <c r="A634" s="2" t="n"/>
      <c r="B634" s="2" t="n"/>
      <c r="C634" s="2" t="n"/>
      <c r="D634" s="2" t="n"/>
      <c r="E634" s="2" t="n"/>
      <c r="F634" s="2" t="n"/>
    </row>
    <row r="635" ht="15.75" customHeight="1" s="134">
      <c r="A635" s="2" t="n"/>
      <c r="B635" s="2" t="n"/>
      <c r="C635" s="2" t="n"/>
      <c r="D635" s="2" t="n"/>
      <c r="E635" s="2" t="n"/>
      <c r="F635" s="2" t="n"/>
    </row>
    <row r="636" ht="15.75" customHeight="1" s="134">
      <c r="A636" s="2" t="n"/>
      <c r="B636" s="2" t="n"/>
      <c r="C636" s="2" t="n"/>
      <c r="D636" s="2" t="n"/>
      <c r="E636" s="2" t="n"/>
      <c r="F636" s="2" t="n"/>
    </row>
    <row r="637" ht="15.75" customHeight="1" s="134">
      <c r="A637" s="2" t="n"/>
      <c r="B637" s="2" t="n"/>
      <c r="C637" s="2" t="n"/>
      <c r="D637" s="2" t="n"/>
      <c r="E637" s="2" t="n"/>
      <c r="F637" s="2" t="n"/>
    </row>
    <row r="638" ht="15.75" customHeight="1" s="134">
      <c r="A638" s="2" t="n"/>
      <c r="B638" s="2" t="n"/>
      <c r="C638" s="2" t="n"/>
      <c r="D638" s="2" t="n"/>
      <c r="E638" s="2" t="n"/>
      <c r="F638" s="2" t="n"/>
    </row>
    <row r="639" ht="15.75" customHeight="1" s="134">
      <c r="A639" s="2" t="n"/>
      <c r="B639" s="2" t="n"/>
      <c r="C639" s="2" t="n"/>
      <c r="D639" s="2" t="n"/>
      <c r="E639" s="2" t="n"/>
      <c r="F639" s="2" t="n"/>
    </row>
    <row r="640" ht="15.75" customHeight="1" s="134">
      <c r="A640" s="2" t="n"/>
      <c r="B640" s="2" t="n"/>
      <c r="C640" s="2" t="n"/>
      <c r="D640" s="2" t="n"/>
      <c r="E640" s="2" t="n"/>
      <c r="F640" s="2" t="n"/>
    </row>
    <row r="641" ht="15.75" customHeight="1" s="134">
      <c r="A641" s="2" t="n"/>
      <c r="B641" s="2" t="n"/>
      <c r="C641" s="2" t="n"/>
      <c r="D641" s="2" t="n"/>
      <c r="E641" s="2" t="n"/>
      <c r="F641" s="2" t="n"/>
    </row>
    <row r="642" ht="15.75" customHeight="1" s="134">
      <c r="A642" s="2" t="n"/>
      <c r="B642" s="2" t="n"/>
      <c r="C642" s="2" t="n"/>
      <c r="D642" s="2" t="n"/>
      <c r="E642" s="2" t="n"/>
      <c r="F642" s="2" t="n"/>
    </row>
    <row r="643" ht="15.75" customHeight="1" s="134">
      <c r="A643" s="2" t="n"/>
      <c r="B643" s="2" t="n"/>
      <c r="C643" s="2" t="n"/>
      <c r="D643" s="2" t="n"/>
      <c r="E643" s="2" t="n"/>
      <c r="F643" s="2" t="n"/>
    </row>
    <row r="644" ht="15.75" customHeight="1" s="134">
      <c r="A644" s="2" t="n"/>
      <c r="B644" s="2" t="n"/>
      <c r="C644" s="2" t="n"/>
      <c r="D644" s="2" t="n"/>
      <c r="E644" s="2" t="n"/>
      <c r="F644" s="2" t="n"/>
    </row>
    <row r="645" ht="15.75" customHeight="1" s="134">
      <c r="A645" s="2" t="n"/>
      <c r="B645" s="2" t="n"/>
      <c r="C645" s="2" t="n"/>
      <c r="D645" s="2" t="n"/>
      <c r="E645" s="2" t="n"/>
      <c r="F645" s="2" t="n"/>
    </row>
    <row r="646" ht="15.75" customHeight="1" s="134">
      <c r="A646" s="2" t="n"/>
      <c r="B646" s="2" t="n"/>
      <c r="C646" s="2" t="n"/>
      <c r="D646" s="2" t="n"/>
      <c r="E646" s="2" t="n"/>
      <c r="F646" s="2" t="n"/>
    </row>
    <row r="647" ht="15.75" customHeight="1" s="134">
      <c r="A647" s="2" t="n"/>
      <c r="B647" s="2" t="n"/>
      <c r="C647" s="2" t="n"/>
      <c r="D647" s="2" t="n"/>
      <c r="E647" s="2" t="n"/>
      <c r="F647" s="2" t="n"/>
    </row>
    <row r="648" ht="15.75" customHeight="1" s="134">
      <c r="A648" s="2" t="n"/>
      <c r="B648" s="2" t="n"/>
      <c r="C648" s="2" t="n"/>
      <c r="D648" s="2" t="n"/>
      <c r="E648" s="2" t="n"/>
      <c r="F648" s="2" t="n"/>
    </row>
    <row r="649" ht="15.75" customHeight="1" s="134">
      <c r="A649" s="2" t="n"/>
      <c r="B649" s="2" t="n"/>
      <c r="C649" s="2" t="n"/>
      <c r="D649" s="2" t="n"/>
      <c r="E649" s="2" t="n"/>
      <c r="F649" s="2" t="n"/>
    </row>
    <row r="650" ht="15.75" customHeight="1" s="134">
      <c r="A650" s="2" t="n"/>
      <c r="B650" s="2" t="n"/>
      <c r="C650" s="2" t="n"/>
      <c r="D650" s="2" t="n"/>
      <c r="E650" s="2" t="n"/>
      <c r="F650" s="2" t="n"/>
    </row>
    <row r="651" ht="15.75" customHeight="1" s="134">
      <c r="A651" s="2" t="n"/>
      <c r="B651" s="2" t="n"/>
      <c r="C651" s="2" t="n"/>
      <c r="D651" s="2" t="n"/>
      <c r="E651" s="2" t="n"/>
      <c r="F651" s="2" t="n"/>
    </row>
    <row r="652" ht="15.75" customHeight="1" s="134">
      <c r="A652" s="2" t="n"/>
      <c r="B652" s="2" t="n"/>
      <c r="C652" s="2" t="n"/>
      <c r="D652" s="2" t="n"/>
      <c r="E652" s="2" t="n"/>
      <c r="F652" s="2" t="n"/>
    </row>
    <row r="653" ht="15.75" customHeight="1" s="134">
      <c r="A653" s="2" t="n"/>
      <c r="B653" s="2" t="n"/>
      <c r="C653" s="2" t="n"/>
      <c r="D653" s="2" t="n"/>
      <c r="E653" s="2" t="n"/>
      <c r="F653" s="2" t="n"/>
    </row>
    <row r="654" ht="15.75" customHeight="1" s="134">
      <c r="A654" s="2" t="n"/>
      <c r="B654" s="2" t="n"/>
      <c r="C654" s="2" t="n"/>
      <c r="D654" s="2" t="n"/>
      <c r="E654" s="2" t="n"/>
      <c r="F654" s="2" t="n"/>
    </row>
    <row r="655" ht="15.75" customHeight="1" s="134">
      <c r="A655" s="2" t="n"/>
      <c r="B655" s="2" t="n"/>
      <c r="C655" s="2" t="n"/>
      <c r="D655" s="2" t="n"/>
      <c r="E655" s="2" t="n"/>
      <c r="F655" s="2" t="n"/>
    </row>
    <row r="656" ht="15.75" customHeight="1" s="134">
      <c r="A656" s="2" t="n"/>
      <c r="B656" s="2" t="n"/>
      <c r="C656" s="2" t="n"/>
      <c r="D656" s="2" t="n"/>
      <c r="E656" s="2" t="n"/>
      <c r="F656" s="2" t="n"/>
    </row>
    <row r="657" ht="15.75" customHeight="1" s="134">
      <c r="A657" s="2" t="n"/>
      <c r="B657" s="2" t="n"/>
      <c r="C657" s="2" t="n"/>
      <c r="D657" s="2" t="n"/>
      <c r="E657" s="2" t="n"/>
      <c r="F657" s="2" t="n"/>
    </row>
    <row r="658" ht="15.75" customHeight="1" s="134">
      <c r="A658" s="2" t="n"/>
      <c r="B658" s="2" t="n"/>
      <c r="C658" s="2" t="n"/>
      <c r="D658" s="2" t="n"/>
      <c r="E658" s="2" t="n"/>
      <c r="F658" s="2" t="n"/>
    </row>
    <row r="659" ht="15.75" customHeight="1" s="134">
      <c r="A659" s="2" t="n"/>
      <c r="B659" s="2" t="n"/>
      <c r="C659" s="2" t="n"/>
      <c r="D659" s="2" t="n"/>
      <c r="E659" s="2" t="n"/>
      <c r="F659" s="2" t="n"/>
    </row>
    <row r="660" ht="15.75" customHeight="1" s="134">
      <c r="A660" s="2" t="n"/>
      <c r="B660" s="2" t="n"/>
      <c r="C660" s="2" t="n"/>
      <c r="D660" s="2" t="n"/>
      <c r="E660" s="2" t="n"/>
      <c r="F660" s="2" t="n"/>
    </row>
    <row r="661" ht="15.75" customHeight="1" s="134">
      <c r="A661" s="2" t="n"/>
      <c r="B661" s="2" t="n"/>
      <c r="C661" s="2" t="n"/>
      <c r="D661" s="2" t="n"/>
      <c r="E661" s="2" t="n"/>
      <c r="F661" s="2" t="n"/>
    </row>
    <row r="662" ht="15.75" customHeight="1" s="134">
      <c r="A662" s="2" t="n"/>
      <c r="B662" s="2" t="n"/>
      <c r="C662" s="2" t="n"/>
      <c r="D662" s="2" t="n"/>
      <c r="E662" s="2" t="n"/>
      <c r="F662" s="2" t="n"/>
    </row>
    <row r="663" ht="15.75" customHeight="1" s="134">
      <c r="A663" s="2" t="n"/>
      <c r="B663" s="2" t="n"/>
      <c r="C663" s="2" t="n"/>
      <c r="D663" s="2" t="n"/>
      <c r="E663" s="2" t="n"/>
      <c r="F663" s="2" t="n"/>
    </row>
    <row r="664" ht="15.75" customHeight="1" s="134">
      <c r="A664" s="2" t="n"/>
      <c r="B664" s="2" t="n"/>
      <c r="C664" s="2" t="n"/>
      <c r="D664" s="2" t="n"/>
      <c r="E664" s="2" t="n"/>
      <c r="F664" s="2" t="n"/>
    </row>
    <row r="665" ht="15.75" customHeight="1" s="134">
      <c r="A665" s="2" t="n"/>
      <c r="B665" s="2" t="n"/>
      <c r="C665" s="2" t="n"/>
      <c r="D665" s="2" t="n"/>
      <c r="E665" s="2" t="n"/>
      <c r="F665" s="2" t="n"/>
    </row>
    <row r="666" ht="15.75" customHeight="1" s="134">
      <c r="A666" s="2" t="n"/>
      <c r="B666" s="2" t="n"/>
      <c r="C666" s="2" t="n"/>
      <c r="D666" s="2" t="n"/>
      <c r="E666" s="2" t="n"/>
      <c r="F666" s="2" t="n"/>
    </row>
    <row r="667" ht="15.75" customHeight="1" s="134">
      <c r="A667" s="2" t="n"/>
      <c r="B667" s="2" t="n"/>
      <c r="C667" s="2" t="n"/>
      <c r="D667" s="2" t="n"/>
      <c r="E667" s="2" t="n"/>
      <c r="F667" s="2" t="n"/>
    </row>
    <row r="668" ht="15.75" customHeight="1" s="134">
      <c r="A668" s="2" t="n"/>
      <c r="B668" s="2" t="n"/>
      <c r="C668" s="2" t="n"/>
      <c r="D668" s="2" t="n"/>
      <c r="E668" s="2" t="n"/>
      <c r="F668" s="2" t="n"/>
    </row>
    <row r="669" ht="15.75" customHeight="1" s="134">
      <c r="A669" s="2" t="n"/>
      <c r="B669" s="2" t="n"/>
      <c r="C669" s="2" t="n"/>
      <c r="D669" s="2" t="n"/>
      <c r="E669" s="2" t="n"/>
      <c r="F669" s="2" t="n"/>
    </row>
    <row r="670" ht="15.75" customHeight="1" s="134">
      <c r="A670" s="2" t="n"/>
      <c r="B670" s="2" t="n"/>
      <c r="C670" s="2" t="n"/>
      <c r="D670" s="2" t="n"/>
      <c r="E670" s="2" t="n"/>
      <c r="F670" s="2" t="n"/>
    </row>
    <row r="671" ht="15.75" customHeight="1" s="134">
      <c r="A671" s="2" t="n"/>
      <c r="B671" s="2" t="n"/>
      <c r="C671" s="2" t="n"/>
      <c r="D671" s="2" t="n"/>
      <c r="E671" s="2" t="n"/>
      <c r="F671" s="2" t="n"/>
    </row>
    <row r="672" ht="15.75" customHeight="1" s="134">
      <c r="A672" s="2" t="n"/>
      <c r="B672" s="2" t="n"/>
      <c r="C672" s="2" t="n"/>
      <c r="D672" s="2" t="n"/>
      <c r="E672" s="2" t="n"/>
      <c r="F672" s="2" t="n"/>
    </row>
    <row r="673" ht="15.75" customHeight="1" s="134">
      <c r="A673" s="2" t="n"/>
      <c r="B673" s="2" t="n"/>
      <c r="C673" s="2" t="n"/>
      <c r="D673" s="2" t="n"/>
      <c r="E673" s="2" t="n"/>
      <c r="F673" s="2" t="n"/>
    </row>
    <row r="674" ht="15.75" customHeight="1" s="134">
      <c r="A674" s="2" t="n"/>
      <c r="B674" s="2" t="n"/>
      <c r="C674" s="2" t="n"/>
      <c r="D674" s="2" t="n"/>
      <c r="E674" s="2" t="n"/>
      <c r="F674" s="2" t="n"/>
    </row>
    <row r="675" ht="15.75" customHeight="1" s="134">
      <c r="A675" s="2" t="n"/>
      <c r="B675" s="2" t="n"/>
      <c r="C675" s="2" t="n"/>
      <c r="D675" s="2" t="n"/>
      <c r="E675" s="2" t="n"/>
      <c r="F675" s="2" t="n"/>
    </row>
    <row r="676" ht="15.75" customHeight="1" s="134">
      <c r="A676" s="2" t="n"/>
      <c r="B676" s="2" t="n"/>
      <c r="C676" s="2" t="n"/>
      <c r="D676" s="2" t="n"/>
      <c r="E676" s="2" t="n"/>
      <c r="F676" s="2" t="n"/>
    </row>
    <row r="677" ht="15.75" customHeight="1" s="134">
      <c r="A677" s="2" t="n"/>
      <c r="B677" s="2" t="n"/>
      <c r="C677" s="2" t="n"/>
      <c r="D677" s="2" t="n"/>
      <c r="E677" s="2" t="n"/>
      <c r="F677" s="2" t="n"/>
    </row>
    <row r="678" ht="15.75" customHeight="1" s="134">
      <c r="A678" s="2" t="n"/>
      <c r="B678" s="2" t="n"/>
      <c r="C678" s="2" t="n"/>
      <c r="D678" s="2" t="n"/>
      <c r="E678" s="2" t="n"/>
      <c r="F678" s="2" t="n"/>
    </row>
    <row r="679" ht="15.75" customHeight="1" s="134">
      <c r="A679" s="2" t="n"/>
      <c r="B679" s="2" t="n"/>
      <c r="C679" s="2" t="n"/>
      <c r="D679" s="2" t="n"/>
      <c r="E679" s="2" t="n"/>
      <c r="F679" s="2" t="n"/>
    </row>
    <row r="680" ht="15.75" customHeight="1" s="134">
      <c r="A680" s="2" t="n"/>
      <c r="B680" s="2" t="n"/>
      <c r="C680" s="2" t="n"/>
      <c r="D680" s="2" t="n"/>
      <c r="E680" s="2" t="n"/>
      <c r="F680" s="2" t="n"/>
    </row>
    <row r="681" ht="15.75" customHeight="1" s="134">
      <c r="A681" s="2" t="n"/>
      <c r="B681" s="2" t="n"/>
      <c r="C681" s="2" t="n"/>
      <c r="D681" s="2" t="n"/>
      <c r="E681" s="2" t="n"/>
      <c r="F681" s="2" t="n"/>
    </row>
    <row r="682" ht="15.75" customHeight="1" s="134">
      <c r="A682" s="2" t="n"/>
      <c r="B682" s="2" t="n"/>
      <c r="C682" s="2" t="n"/>
      <c r="D682" s="2" t="n"/>
      <c r="E682" s="2" t="n"/>
      <c r="F682" s="2" t="n"/>
    </row>
    <row r="683" ht="15.75" customHeight="1" s="134">
      <c r="A683" s="2" t="n"/>
      <c r="B683" s="2" t="n"/>
      <c r="C683" s="2" t="n"/>
      <c r="D683" s="2" t="n"/>
      <c r="E683" s="2" t="n"/>
      <c r="F683" s="2" t="n"/>
    </row>
    <row r="684" ht="15.75" customHeight="1" s="134">
      <c r="A684" s="2" t="n"/>
      <c r="B684" s="2" t="n"/>
      <c r="C684" s="2" t="n"/>
      <c r="D684" s="2" t="n"/>
      <c r="E684" s="2" t="n"/>
      <c r="F684" s="2" t="n"/>
    </row>
    <row r="685" ht="15.75" customHeight="1" s="134">
      <c r="A685" s="2" t="n"/>
      <c r="B685" s="2" t="n"/>
      <c r="C685" s="2" t="n"/>
      <c r="D685" s="2" t="n"/>
      <c r="E685" s="2" t="n"/>
      <c r="F685" s="2" t="n"/>
    </row>
    <row r="686" ht="15.75" customHeight="1" s="134">
      <c r="A686" s="2" t="n"/>
      <c r="B686" s="2" t="n"/>
      <c r="C686" s="2" t="n"/>
      <c r="D686" s="2" t="n"/>
      <c r="E686" s="2" t="n"/>
      <c r="F686" s="2" t="n"/>
    </row>
    <row r="687" ht="15.75" customHeight="1" s="134">
      <c r="A687" s="2" t="n"/>
      <c r="B687" s="2" t="n"/>
      <c r="C687" s="2" t="n"/>
      <c r="D687" s="2" t="n"/>
      <c r="E687" s="2" t="n"/>
      <c r="F687" s="2" t="n"/>
    </row>
    <row r="688" ht="15.75" customHeight="1" s="134">
      <c r="A688" s="2" t="n"/>
      <c r="B688" s="2" t="n"/>
      <c r="C688" s="2" t="n"/>
      <c r="D688" s="2" t="n"/>
      <c r="E688" s="2" t="n"/>
      <c r="F688" s="2" t="n"/>
    </row>
    <row r="689" ht="15.75" customHeight="1" s="134">
      <c r="A689" s="2" t="n"/>
      <c r="B689" s="2" t="n"/>
      <c r="C689" s="2" t="n"/>
      <c r="D689" s="2" t="n"/>
      <c r="E689" s="2" t="n"/>
      <c r="F689" s="2" t="n"/>
    </row>
    <row r="690" ht="15.75" customHeight="1" s="134">
      <c r="A690" s="2" t="n"/>
      <c r="B690" s="2" t="n"/>
      <c r="C690" s="2" t="n"/>
      <c r="D690" s="2" t="n"/>
      <c r="E690" s="2" t="n"/>
      <c r="F690" s="2" t="n"/>
    </row>
    <row r="691" ht="15.75" customHeight="1" s="134">
      <c r="A691" s="2" t="n"/>
      <c r="B691" s="2" t="n"/>
      <c r="C691" s="2" t="n"/>
      <c r="D691" s="2" t="n"/>
      <c r="E691" s="2" t="n"/>
      <c r="F691" s="2" t="n"/>
    </row>
    <row r="692" ht="15.75" customHeight="1" s="134">
      <c r="A692" s="2" t="n"/>
      <c r="B692" s="2" t="n"/>
      <c r="C692" s="2" t="n"/>
      <c r="D692" s="2" t="n"/>
      <c r="E692" s="2" t="n"/>
      <c r="F692" s="2" t="n"/>
    </row>
    <row r="693" ht="15.75" customHeight="1" s="134">
      <c r="A693" s="2" t="n"/>
      <c r="B693" s="2" t="n"/>
      <c r="C693" s="2" t="n"/>
      <c r="D693" s="2" t="n"/>
      <c r="E693" s="2" t="n"/>
      <c r="F693" s="2" t="n"/>
    </row>
    <row r="694" ht="15.75" customHeight="1" s="134">
      <c r="A694" s="2" t="n"/>
      <c r="B694" s="2" t="n"/>
      <c r="C694" s="2" t="n"/>
      <c r="D694" s="2" t="n"/>
      <c r="E694" s="2" t="n"/>
      <c r="F694" s="2" t="n"/>
    </row>
    <row r="695" ht="15.75" customHeight="1" s="134">
      <c r="A695" s="2" t="n"/>
      <c r="B695" s="2" t="n"/>
      <c r="C695" s="2" t="n"/>
      <c r="D695" s="2" t="n"/>
      <c r="E695" s="2" t="n"/>
      <c r="F695" s="2" t="n"/>
    </row>
    <row r="696" ht="15.75" customHeight="1" s="134">
      <c r="A696" s="2" t="n"/>
      <c r="B696" s="2" t="n"/>
      <c r="C696" s="2" t="n"/>
      <c r="D696" s="2" t="n"/>
      <c r="E696" s="2" t="n"/>
      <c r="F696" s="2" t="n"/>
    </row>
    <row r="697" ht="15.75" customHeight="1" s="134">
      <c r="A697" s="2" t="n"/>
      <c r="B697" s="2" t="n"/>
      <c r="C697" s="2" t="n"/>
      <c r="D697" s="2" t="n"/>
      <c r="E697" s="2" t="n"/>
      <c r="F697" s="2" t="n"/>
    </row>
    <row r="698" ht="15.75" customHeight="1" s="134">
      <c r="A698" s="2" t="n"/>
      <c r="B698" s="2" t="n"/>
      <c r="C698" s="2" t="n"/>
      <c r="D698" s="2" t="n"/>
      <c r="E698" s="2" t="n"/>
      <c r="F698" s="2" t="n"/>
    </row>
    <row r="699" ht="15.75" customHeight="1" s="134">
      <c r="A699" s="2" t="n"/>
      <c r="B699" s="2" t="n"/>
      <c r="C699" s="2" t="n"/>
      <c r="D699" s="2" t="n"/>
      <c r="E699" s="2" t="n"/>
      <c r="F699" s="2" t="n"/>
    </row>
    <row r="700" ht="15.75" customHeight="1" s="134">
      <c r="A700" s="2" t="n"/>
      <c r="B700" s="2" t="n"/>
      <c r="C700" s="2" t="n"/>
      <c r="D700" s="2" t="n"/>
      <c r="E700" s="2" t="n"/>
      <c r="F700" s="2" t="n"/>
    </row>
    <row r="701" ht="15.75" customHeight="1" s="134">
      <c r="A701" s="2" t="n"/>
      <c r="B701" s="2" t="n"/>
      <c r="C701" s="2" t="n"/>
      <c r="D701" s="2" t="n"/>
      <c r="E701" s="2" t="n"/>
      <c r="F701" s="2" t="n"/>
    </row>
    <row r="702" ht="15.75" customHeight="1" s="134">
      <c r="A702" s="2" t="n"/>
      <c r="B702" s="2" t="n"/>
      <c r="C702" s="2" t="n"/>
      <c r="D702" s="2" t="n"/>
      <c r="E702" s="2" t="n"/>
      <c r="F702" s="2" t="n"/>
    </row>
    <row r="703" ht="15.75" customHeight="1" s="134">
      <c r="A703" s="2" t="n"/>
      <c r="B703" s="2" t="n"/>
      <c r="C703" s="2" t="n"/>
      <c r="D703" s="2" t="n"/>
      <c r="E703" s="2" t="n"/>
      <c r="F703" s="2" t="n"/>
    </row>
    <row r="704" ht="15.75" customHeight="1" s="134">
      <c r="A704" s="2" t="n"/>
      <c r="B704" s="2" t="n"/>
      <c r="C704" s="2" t="n"/>
      <c r="D704" s="2" t="n"/>
      <c r="E704" s="2" t="n"/>
      <c r="F704" s="2" t="n"/>
    </row>
    <row r="705" ht="15.75" customHeight="1" s="134">
      <c r="A705" s="2" t="n"/>
      <c r="B705" s="2" t="n"/>
      <c r="C705" s="2" t="n"/>
      <c r="D705" s="2" t="n"/>
      <c r="E705" s="2" t="n"/>
      <c r="F705" s="2" t="n"/>
    </row>
    <row r="706" ht="15.75" customHeight="1" s="134">
      <c r="A706" s="2" t="n"/>
      <c r="B706" s="2" t="n"/>
      <c r="C706" s="2" t="n"/>
      <c r="D706" s="2" t="n"/>
      <c r="E706" s="2" t="n"/>
      <c r="F706" s="2" t="n"/>
    </row>
    <row r="707" ht="15.75" customHeight="1" s="134">
      <c r="A707" s="2" t="n"/>
      <c r="B707" s="2" t="n"/>
      <c r="C707" s="2" t="n"/>
      <c r="D707" s="2" t="n"/>
      <c r="E707" s="2" t="n"/>
      <c r="F707" s="2" t="n"/>
    </row>
    <row r="708" ht="15.75" customHeight="1" s="134">
      <c r="A708" s="2" t="n"/>
      <c r="B708" s="2" t="n"/>
      <c r="C708" s="2" t="n"/>
      <c r="D708" s="2" t="n"/>
      <c r="E708" s="2" t="n"/>
      <c r="F708" s="2" t="n"/>
    </row>
    <row r="709" ht="15.75" customHeight="1" s="134">
      <c r="A709" s="2" t="n"/>
      <c r="B709" s="2" t="n"/>
      <c r="C709" s="2" t="n"/>
      <c r="D709" s="2" t="n"/>
      <c r="E709" s="2" t="n"/>
      <c r="F709" s="2" t="n"/>
    </row>
    <row r="710" ht="15.75" customHeight="1" s="134">
      <c r="A710" s="2" t="n"/>
      <c r="B710" s="2" t="n"/>
      <c r="C710" s="2" t="n"/>
      <c r="D710" s="2" t="n"/>
      <c r="E710" s="2" t="n"/>
      <c r="F710" s="2" t="n"/>
    </row>
    <row r="711" ht="15.75" customHeight="1" s="134">
      <c r="A711" s="2" t="n"/>
      <c r="B711" s="2" t="n"/>
      <c r="C711" s="2" t="n"/>
      <c r="D711" s="2" t="n"/>
      <c r="E711" s="2" t="n"/>
      <c r="F711" s="2" t="n"/>
    </row>
    <row r="712" ht="15.75" customHeight="1" s="134">
      <c r="A712" s="2" t="n"/>
      <c r="B712" s="2" t="n"/>
      <c r="C712" s="2" t="n"/>
      <c r="D712" s="2" t="n"/>
      <c r="E712" s="2" t="n"/>
      <c r="F712" s="2" t="n"/>
    </row>
    <row r="713" ht="15.75" customHeight="1" s="134">
      <c r="A713" s="2" t="n"/>
      <c r="B713" s="2" t="n"/>
      <c r="C713" s="2" t="n"/>
      <c r="D713" s="2" t="n"/>
      <c r="E713" s="2" t="n"/>
      <c r="F713" s="2" t="n"/>
    </row>
    <row r="714" ht="15.75" customHeight="1" s="134">
      <c r="A714" s="2" t="n"/>
      <c r="B714" s="2" t="n"/>
      <c r="C714" s="2" t="n"/>
      <c r="D714" s="2" t="n"/>
      <c r="E714" s="2" t="n"/>
      <c r="F714" s="2" t="n"/>
    </row>
    <row r="715" ht="15.75" customHeight="1" s="134">
      <c r="A715" s="2" t="n"/>
      <c r="B715" s="2" t="n"/>
      <c r="C715" s="2" t="n"/>
      <c r="D715" s="2" t="n"/>
      <c r="E715" s="2" t="n"/>
      <c r="F715" s="2" t="n"/>
    </row>
    <row r="716" ht="15.75" customHeight="1" s="134">
      <c r="A716" s="2" t="n"/>
      <c r="B716" s="2" t="n"/>
      <c r="C716" s="2" t="n"/>
      <c r="D716" s="2" t="n"/>
      <c r="E716" s="2" t="n"/>
      <c r="F716" s="2" t="n"/>
    </row>
    <row r="717" ht="15.75" customHeight="1" s="134">
      <c r="A717" s="2" t="n"/>
      <c r="B717" s="2" t="n"/>
      <c r="C717" s="2" t="n"/>
      <c r="D717" s="2" t="n"/>
      <c r="E717" s="2" t="n"/>
      <c r="F717" s="2" t="n"/>
    </row>
    <row r="718" ht="15.75" customHeight="1" s="134">
      <c r="A718" s="2" t="n"/>
      <c r="B718" s="2" t="n"/>
      <c r="C718" s="2" t="n"/>
      <c r="D718" s="2" t="n"/>
      <c r="E718" s="2" t="n"/>
      <c r="F718" s="2" t="n"/>
    </row>
    <row r="719" ht="15.75" customHeight="1" s="134">
      <c r="A719" s="2" t="n"/>
      <c r="B719" s="2" t="n"/>
      <c r="C719" s="2" t="n"/>
      <c r="D719" s="2" t="n"/>
      <c r="E719" s="2" t="n"/>
      <c r="F719" s="2" t="n"/>
    </row>
    <row r="720" ht="15.75" customHeight="1" s="134">
      <c r="A720" s="2" t="n"/>
      <c r="B720" s="2" t="n"/>
      <c r="C720" s="2" t="n"/>
      <c r="D720" s="2" t="n"/>
      <c r="E720" s="2" t="n"/>
      <c r="F720" s="2" t="n"/>
    </row>
    <row r="721" ht="15.75" customHeight="1" s="134">
      <c r="A721" s="2" t="n"/>
      <c r="B721" s="2" t="n"/>
      <c r="C721" s="2" t="n"/>
      <c r="D721" s="2" t="n"/>
      <c r="E721" s="2" t="n"/>
      <c r="F721" s="2" t="n"/>
    </row>
    <row r="722" ht="15.75" customHeight="1" s="134">
      <c r="A722" s="2" t="n"/>
      <c r="B722" s="2" t="n"/>
      <c r="C722" s="2" t="n"/>
      <c r="D722" s="2" t="n"/>
      <c r="E722" s="2" t="n"/>
      <c r="F722" s="2" t="n"/>
    </row>
    <row r="723" ht="15.75" customHeight="1" s="134">
      <c r="A723" s="2" t="n"/>
      <c r="B723" s="2" t="n"/>
      <c r="C723" s="2" t="n"/>
      <c r="D723" s="2" t="n"/>
      <c r="E723" s="2" t="n"/>
      <c r="F723" s="2" t="n"/>
    </row>
    <row r="724" ht="15.75" customHeight="1" s="134">
      <c r="A724" s="2" t="n"/>
      <c r="B724" s="2" t="n"/>
      <c r="C724" s="2" t="n"/>
      <c r="D724" s="2" t="n"/>
      <c r="E724" s="2" t="n"/>
      <c r="F724" s="2" t="n"/>
    </row>
    <row r="725" ht="15.75" customHeight="1" s="134">
      <c r="A725" s="2" t="n"/>
      <c r="B725" s="2" t="n"/>
      <c r="C725" s="2" t="n"/>
      <c r="D725" s="2" t="n"/>
      <c r="E725" s="2" t="n"/>
      <c r="F725" s="2" t="n"/>
    </row>
    <row r="726" ht="15.75" customHeight="1" s="134">
      <c r="A726" s="2" t="n"/>
      <c r="B726" s="2" t="n"/>
      <c r="C726" s="2" t="n"/>
      <c r="D726" s="2" t="n"/>
      <c r="E726" s="2" t="n"/>
      <c r="F726" s="2" t="n"/>
    </row>
    <row r="727" ht="15.75" customHeight="1" s="134">
      <c r="A727" s="2" t="n"/>
      <c r="B727" s="2" t="n"/>
      <c r="C727" s="2" t="n"/>
      <c r="D727" s="2" t="n"/>
      <c r="E727" s="2" t="n"/>
      <c r="F727" s="2" t="n"/>
    </row>
    <row r="728" ht="15.75" customHeight="1" s="134">
      <c r="A728" s="2" t="n"/>
      <c r="B728" s="2" t="n"/>
      <c r="C728" s="2" t="n"/>
      <c r="D728" s="2" t="n"/>
      <c r="E728" s="2" t="n"/>
      <c r="F728" s="2" t="n"/>
    </row>
    <row r="729" ht="15.75" customHeight="1" s="134">
      <c r="A729" s="2" t="n"/>
      <c r="B729" s="2" t="n"/>
      <c r="C729" s="2" t="n"/>
      <c r="D729" s="2" t="n"/>
      <c r="E729" s="2" t="n"/>
      <c r="F729" s="2" t="n"/>
    </row>
    <row r="730" ht="15.75" customHeight="1" s="134">
      <c r="A730" s="2" t="n"/>
      <c r="B730" s="2" t="n"/>
      <c r="C730" s="2" t="n"/>
      <c r="D730" s="2" t="n"/>
      <c r="E730" s="2" t="n"/>
      <c r="F730" s="2" t="n"/>
    </row>
    <row r="731" ht="15.75" customHeight="1" s="134">
      <c r="A731" s="2" t="n"/>
      <c r="B731" s="2" t="n"/>
      <c r="C731" s="2" t="n"/>
      <c r="D731" s="2" t="n"/>
      <c r="E731" s="2" t="n"/>
      <c r="F731" s="2" t="n"/>
    </row>
    <row r="732" ht="15.75" customHeight="1" s="134">
      <c r="A732" s="2" t="n"/>
      <c r="B732" s="2" t="n"/>
      <c r="C732" s="2" t="n"/>
      <c r="D732" s="2" t="n"/>
      <c r="E732" s="2" t="n"/>
      <c r="F732" s="2" t="n"/>
    </row>
    <row r="733" ht="15.75" customHeight="1" s="134">
      <c r="A733" s="2" t="n"/>
      <c r="B733" s="2" t="n"/>
      <c r="C733" s="2" t="n"/>
      <c r="D733" s="2" t="n"/>
      <c r="E733" s="2" t="n"/>
      <c r="F733" s="2" t="n"/>
    </row>
    <row r="734" ht="15.75" customHeight="1" s="134">
      <c r="A734" s="2" t="n"/>
      <c r="B734" s="2" t="n"/>
      <c r="C734" s="2" t="n"/>
      <c r="D734" s="2" t="n"/>
      <c r="E734" s="2" t="n"/>
      <c r="F734" s="2" t="n"/>
    </row>
    <row r="735" ht="15.75" customHeight="1" s="134">
      <c r="A735" s="2" t="n"/>
      <c r="B735" s="2" t="n"/>
      <c r="C735" s="2" t="n"/>
      <c r="D735" s="2" t="n"/>
      <c r="E735" s="2" t="n"/>
      <c r="F735" s="2" t="n"/>
    </row>
    <row r="736" ht="15.75" customHeight="1" s="134">
      <c r="A736" s="2" t="n"/>
      <c r="B736" s="2" t="n"/>
      <c r="C736" s="2" t="n"/>
      <c r="D736" s="2" t="n"/>
      <c r="E736" s="2" t="n"/>
      <c r="F736" s="2" t="n"/>
    </row>
    <row r="737" ht="15.75" customHeight="1" s="134">
      <c r="A737" s="2" t="n"/>
      <c r="B737" s="2" t="n"/>
      <c r="C737" s="2" t="n"/>
      <c r="D737" s="2" t="n"/>
      <c r="E737" s="2" t="n"/>
      <c r="F737" s="2" t="n"/>
    </row>
    <row r="738" ht="15.75" customHeight="1" s="134">
      <c r="A738" s="2" t="n"/>
      <c r="B738" s="2" t="n"/>
      <c r="C738" s="2" t="n"/>
      <c r="D738" s="2" t="n"/>
      <c r="E738" s="2" t="n"/>
      <c r="F738" s="2" t="n"/>
    </row>
    <row r="739" ht="15.75" customHeight="1" s="134">
      <c r="A739" s="2" t="n"/>
      <c r="B739" s="2" t="n"/>
      <c r="C739" s="2" t="n"/>
      <c r="D739" s="2" t="n"/>
      <c r="E739" s="2" t="n"/>
      <c r="F739" s="2" t="n"/>
    </row>
    <row r="740" ht="15.75" customHeight="1" s="134">
      <c r="A740" s="2" t="n"/>
      <c r="B740" s="2" t="n"/>
      <c r="C740" s="2" t="n"/>
      <c r="D740" s="2" t="n"/>
      <c r="E740" s="2" t="n"/>
      <c r="F740" s="2" t="n"/>
    </row>
    <row r="741" ht="15.75" customHeight="1" s="134">
      <c r="A741" s="2" t="n"/>
      <c r="B741" s="2" t="n"/>
      <c r="C741" s="2" t="n"/>
      <c r="D741" s="2" t="n"/>
      <c r="E741" s="2" t="n"/>
      <c r="F741" s="2" t="n"/>
    </row>
    <row r="742" ht="15.75" customHeight="1" s="134">
      <c r="A742" s="2" t="n"/>
      <c r="B742" s="2" t="n"/>
      <c r="C742" s="2" t="n"/>
      <c r="D742" s="2" t="n"/>
      <c r="E742" s="2" t="n"/>
      <c r="F742" s="2" t="n"/>
    </row>
    <row r="743" ht="15.75" customHeight="1" s="134">
      <c r="A743" s="2" t="n"/>
      <c r="B743" s="2" t="n"/>
      <c r="C743" s="2" t="n"/>
      <c r="D743" s="2" t="n"/>
      <c r="E743" s="2" t="n"/>
      <c r="F743" s="2" t="n"/>
    </row>
    <row r="744" ht="15.75" customHeight="1" s="134">
      <c r="A744" s="2" t="n"/>
      <c r="B744" s="2" t="n"/>
      <c r="C744" s="2" t="n"/>
      <c r="D744" s="2" t="n"/>
      <c r="E744" s="2" t="n"/>
      <c r="F744" s="2" t="n"/>
    </row>
    <row r="745" ht="15.75" customHeight="1" s="134">
      <c r="A745" s="2" t="n"/>
      <c r="B745" s="2" t="n"/>
      <c r="C745" s="2" t="n"/>
      <c r="D745" s="2" t="n"/>
      <c r="E745" s="2" t="n"/>
      <c r="F745" s="2" t="n"/>
    </row>
    <row r="746" ht="15.75" customHeight="1" s="134">
      <c r="A746" s="2" t="n"/>
      <c r="B746" s="2" t="n"/>
      <c r="C746" s="2" t="n"/>
      <c r="D746" s="2" t="n"/>
      <c r="E746" s="2" t="n"/>
      <c r="F746" s="2" t="n"/>
    </row>
    <row r="747" ht="15.75" customHeight="1" s="134">
      <c r="A747" s="2" t="n"/>
      <c r="B747" s="2" t="n"/>
      <c r="C747" s="2" t="n"/>
      <c r="D747" s="2" t="n"/>
      <c r="E747" s="2" t="n"/>
      <c r="F747" s="2" t="n"/>
    </row>
    <row r="748" ht="15.75" customHeight="1" s="134">
      <c r="A748" s="2" t="n"/>
      <c r="B748" s="2" t="n"/>
      <c r="C748" s="2" t="n"/>
      <c r="D748" s="2" t="n"/>
      <c r="E748" s="2" t="n"/>
      <c r="F748" s="2" t="n"/>
    </row>
    <row r="749" ht="15.75" customHeight="1" s="134">
      <c r="A749" s="2" t="n"/>
      <c r="B749" s="2" t="n"/>
      <c r="C749" s="2" t="n"/>
      <c r="D749" s="2" t="n"/>
      <c r="E749" s="2" t="n"/>
      <c r="F749" s="2" t="n"/>
    </row>
    <row r="750" ht="15.75" customHeight="1" s="134">
      <c r="A750" s="2" t="n"/>
      <c r="B750" s="2" t="n"/>
      <c r="C750" s="2" t="n"/>
      <c r="D750" s="2" t="n"/>
      <c r="E750" s="2" t="n"/>
      <c r="F750" s="2" t="n"/>
    </row>
    <row r="751" ht="15.75" customHeight="1" s="134">
      <c r="A751" s="2" t="n"/>
      <c r="B751" s="2" t="n"/>
      <c r="C751" s="2" t="n"/>
      <c r="D751" s="2" t="n"/>
      <c r="E751" s="2" t="n"/>
      <c r="F751" s="2" t="n"/>
    </row>
    <row r="752" ht="15.75" customHeight="1" s="134">
      <c r="A752" s="2" t="n"/>
      <c r="B752" s="2" t="n"/>
      <c r="C752" s="2" t="n"/>
      <c r="D752" s="2" t="n"/>
      <c r="E752" s="2" t="n"/>
      <c r="F752" s="2" t="n"/>
    </row>
    <row r="753" ht="15.75" customHeight="1" s="134">
      <c r="A753" s="2" t="n"/>
      <c r="B753" s="2" t="n"/>
      <c r="C753" s="2" t="n"/>
      <c r="D753" s="2" t="n"/>
      <c r="E753" s="2" t="n"/>
      <c r="F753" s="2" t="n"/>
    </row>
    <row r="754" ht="15.75" customHeight="1" s="134">
      <c r="A754" s="2" t="n"/>
      <c r="B754" s="2" t="n"/>
      <c r="C754" s="2" t="n"/>
      <c r="D754" s="2" t="n"/>
      <c r="E754" s="2" t="n"/>
      <c r="F754" s="2" t="n"/>
    </row>
    <row r="755" ht="15.75" customHeight="1" s="134">
      <c r="A755" s="2" t="n"/>
      <c r="B755" s="2" t="n"/>
      <c r="C755" s="2" t="n"/>
      <c r="D755" s="2" t="n"/>
      <c r="E755" s="2" t="n"/>
      <c r="F755" s="2" t="n"/>
    </row>
    <row r="756" ht="15.75" customHeight="1" s="134">
      <c r="A756" s="2" t="n"/>
      <c r="B756" s="2" t="n"/>
      <c r="C756" s="2" t="n"/>
      <c r="D756" s="2" t="n"/>
      <c r="E756" s="2" t="n"/>
      <c r="F756" s="2" t="n"/>
    </row>
    <row r="757" ht="15.75" customHeight="1" s="134">
      <c r="A757" s="2" t="n"/>
      <c r="B757" s="2" t="n"/>
      <c r="C757" s="2" t="n"/>
      <c r="D757" s="2" t="n"/>
      <c r="E757" s="2" t="n"/>
      <c r="F757" s="2" t="n"/>
    </row>
    <row r="758" ht="15.75" customHeight="1" s="134">
      <c r="A758" s="2" t="n"/>
      <c r="B758" s="2" t="n"/>
      <c r="C758" s="2" t="n"/>
      <c r="D758" s="2" t="n"/>
      <c r="E758" s="2" t="n"/>
      <c r="F758" s="2" t="n"/>
    </row>
    <row r="759" ht="15.75" customHeight="1" s="134">
      <c r="A759" s="2" t="n"/>
      <c r="B759" s="2" t="n"/>
      <c r="C759" s="2" t="n"/>
      <c r="D759" s="2" t="n"/>
      <c r="E759" s="2" t="n"/>
      <c r="F759" s="2" t="n"/>
    </row>
    <row r="760" ht="15.75" customHeight="1" s="134">
      <c r="A760" s="2" t="n"/>
      <c r="B760" s="2" t="n"/>
      <c r="C760" s="2" t="n"/>
      <c r="D760" s="2" t="n"/>
      <c r="E760" s="2" t="n"/>
      <c r="F760" s="2" t="n"/>
    </row>
    <row r="761" ht="15.75" customHeight="1" s="134">
      <c r="A761" s="2" t="n"/>
      <c r="B761" s="2" t="n"/>
      <c r="C761" s="2" t="n"/>
      <c r="D761" s="2" t="n"/>
      <c r="E761" s="2" t="n"/>
      <c r="F761" s="2" t="n"/>
    </row>
    <row r="762" ht="15.75" customHeight="1" s="134">
      <c r="A762" s="2" t="n"/>
      <c r="B762" s="2" t="n"/>
      <c r="C762" s="2" t="n"/>
      <c r="D762" s="2" t="n"/>
      <c r="E762" s="2" t="n"/>
      <c r="F762" s="2" t="n"/>
    </row>
    <row r="763" ht="15.75" customHeight="1" s="134">
      <c r="A763" s="2" t="n"/>
      <c r="B763" s="2" t="n"/>
      <c r="C763" s="2" t="n"/>
      <c r="D763" s="2" t="n"/>
      <c r="E763" s="2" t="n"/>
      <c r="F763" s="2" t="n"/>
    </row>
    <row r="764" ht="15.75" customHeight="1" s="134">
      <c r="A764" s="2" t="n"/>
      <c r="B764" s="2" t="n"/>
      <c r="C764" s="2" t="n"/>
      <c r="D764" s="2" t="n"/>
      <c r="E764" s="2" t="n"/>
      <c r="F764" s="2" t="n"/>
    </row>
    <row r="765" ht="15.75" customHeight="1" s="134">
      <c r="A765" s="2" t="n"/>
      <c r="B765" s="2" t="n"/>
      <c r="C765" s="2" t="n"/>
      <c r="D765" s="2" t="n"/>
      <c r="E765" s="2" t="n"/>
      <c r="F765" s="2" t="n"/>
    </row>
    <row r="766" ht="15.75" customHeight="1" s="134">
      <c r="A766" s="2" t="n"/>
      <c r="B766" s="2" t="n"/>
      <c r="C766" s="2" t="n"/>
      <c r="D766" s="2" t="n"/>
      <c r="E766" s="2" t="n"/>
      <c r="F766" s="2" t="n"/>
    </row>
    <row r="767" ht="15.75" customHeight="1" s="134">
      <c r="A767" s="2" t="n"/>
      <c r="B767" s="2" t="n"/>
      <c r="C767" s="2" t="n"/>
      <c r="D767" s="2" t="n"/>
      <c r="E767" s="2" t="n"/>
      <c r="F767" s="2" t="n"/>
    </row>
    <row r="768" ht="15.75" customHeight="1" s="134">
      <c r="A768" s="2" t="n"/>
      <c r="B768" s="2" t="n"/>
      <c r="C768" s="2" t="n"/>
      <c r="D768" s="2" t="n"/>
      <c r="E768" s="2" t="n"/>
      <c r="F768" s="2" t="n"/>
    </row>
    <row r="769" ht="15.75" customHeight="1" s="134">
      <c r="A769" s="2" t="n"/>
      <c r="B769" s="2" t="n"/>
      <c r="C769" s="2" t="n"/>
      <c r="D769" s="2" t="n"/>
      <c r="E769" s="2" t="n"/>
      <c r="F769" s="2" t="n"/>
    </row>
    <row r="770" ht="15.75" customHeight="1" s="134">
      <c r="A770" s="2" t="n"/>
      <c r="B770" s="2" t="n"/>
      <c r="C770" s="2" t="n"/>
      <c r="D770" s="2" t="n"/>
      <c r="E770" s="2" t="n"/>
      <c r="F770" s="2" t="n"/>
    </row>
    <row r="771" ht="15.75" customHeight="1" s="134">
      <c r="A771" s="2" t="n"/>
      <c r="B771" s="2" t="n"/>
      <c r="C771" s="2" t="n"/>
      <c r="D771" s="2" t="n"/>
      <c r="E771" s="2" t="n"/>
      <c r="F771" s="2" t="n"/>
    </row>
    <row r="772" ht="15.75" customHeight="1" s="134">
      <c r="A772" s="2" t="n"/>
      <c r="B772" s="2" t="n"/>
      <c r="C772" s="2" t="n"/>
      <c r="D772" s="2" t="n"/>
      <c r="E772" s="2" t="n"/>
      <c r="F772" s="2" t="n"/>
    </row>
    <row r="773" ht="15.75" customHeight="1" s="134">
      <c r="A773" s="2" t="n"/>
      <c r="B773" s="2" t="n"/>
      <c r="C773" s="2" t="n"/>
      <c r="D773" s="2" t="n"/>
      <c r="E773" s="2" t="n"/>
      <c r="F773" s="2" t="n"/>
    </row>
    <row r="774" ht="15.75" customHeight="1" s="134">
      <c r="A774" s="2" t="n"/>
      <c r="B774" s="2" t="n"/>
      <c r="C774" s="2" t="n"/>
      <c r="D774" s="2" t="n"/>
      <c r="E774" s="2" t="n"/>
      <c r="F774" s="2" t="n"/>
    </row>
    <row r="775" ht="15.75" customHeight="1" s="134">
      <c r="A775" s="2" t="n"/>
      <c r="B775" s="2" t="n"/>
      <c r="C775" s="2" t="n"/>
      <c r="D775" s="2" t="n"/>
      <c r="E775" s="2" t="n"/>
      <c r="F775" s="2" t="n"/>
    </row>
    <row r="776" ht="15.75" customHeight="1" s="134">
      <c r="A776" s="2" t="n"/>
      <c r="B776" s="2" t="n"/>
      <c r="C776" s="2" t="n"/>
      <c r="D776" s="2" t="n"/>
      <c r="E776" s="2" t="n"/>
      <c r="F776" s="2" t="n"/>
    </row>
    <row r="777" ht="15.75" customHeight="1" s="134">
      <c r="A777" s="2" t="n"/>
      <c r="B777" s="2" t="n"/>
      <c r="C777" s="2" t="n"/>
      <c r="D777" s="2" t="n"/>
      <c r="E777" s="2" t="n"/>
      <c r="F777" s="2" t="n"/>
    </row>
    <row r="778" ht="15.75" customHeight="1" s="134">
      <c r="A778" s="2" t="n"/>
      <c r="B778" s="2" t="n"/>
      <c r="C778" s="2" t="n"/>
      <c r="D778" s="2" t="n"/>
      <c r="E778" s="2" t="n"/>
      <c r="F778" s="2" t="n"/>
    </row>
    <row r="779" ht="15.75" customHeight="1" s="134">
      <c r="A779" s="2" t="n"/>
      <c r="B779" s="2" t="n"/>
      <c r="C779" s="2" t="n"/>
      <c r="D779" s="2" t="n"/>
      <c r="E779" s="2" t="n"/>
      <c r="F779" s="2" t="n"/>
    </row>
    <row r="780" ht="15.75" customHeight="1" s="134">
      <c r="A780" s="2" t="n"/>
      <c r="B780" s="2" t="n"/>
      <c r="C780" s="2" t="n"/>
      <c r="D780" s="2" t="n"/>
      <c r="E780" s="2" t="n"/>
      <c r="F780" s="2" t="n"/>
    </row>
    <row r="781" ht="15.75" customHeight="1" s="134">
      <c r="A781" s="2" t="n"/>
      <c r="B781" s="2" t="n"/>
      <c r="C781" s="2" t="n"/>
      <c r="D781" s="2" t="n"/>
      <c r="E781" s="2" t="n"/>
      <c r="F781" s="2" t="n"/>
    </row>
    <row r="782" ht="15.75" customHeight="1" s="134">
      <c r="A782" s="2" t="n"/>
      <c r="B782" s="2" t="n"/>
      <c r="C782" s="2" t="n"/>
      <c r="D782" s="2" t="n"/>
      <c r="E782" s="2" t="n"/>
      <c r="F782" s="2" t="n"/>
    </row>
    <row r="783" ht="15.75" customHeight="1" s="134">
      <c r="A783" s="2" t="n"/>
      <c r="B783" s="2" t="n"/>
      <c r="C783" s="2" t="n"/>
      <c r="D783" s="2" t="n"/>
      <c r="E783" s="2" t="n"/>
      <c r="F783" s="2" t="n"/>
    </row>
    <row r="784" ht="15.75" customHeight="1" s="134">
      <c r="A784" s="2" t="n"/>
      <c r="B784" s="2" t="n"/>
      <c r="C784" s="2" t="n"/>
      <c r="D784" s="2" t="n"/>
      <c r="E784" s="2" t="n"/>
      <c r="F784" s="2" t="n"/>
    </row>
    <row r="785" ht="15.75" customHeight="1" s="134">
      <c r="A785" s="2" t="n"/>
      <c r="B785" s="2" t="n"/>
      <c r="C785" s="2" t="n"/>
      <c r="D785" s="2" t="n"/>
      <c r="E785" s="2" t="n"/>
      <c r="F785" s="2" t="n"/>
    </row>
    <row r="786" ht="15.75" customHeight="1" s="134">
      <c r="A786" s="2" t="n"/>
      <c r="B786" s="2" t="n"/>
      <c r="C786" s="2" t="n"/>
      <c r="D786" s="2" t="n"/>
      <c r="E786" s="2" t="n"/>
      <c r="F786" s="2" t="n"/>
    </row>
    <row r="787" ht="15.75" customHeight="1" s="134">
      <c r="A787" s="2" t="n"/>
      <c r="B787" s="2" t="n"/>
      <c r="C787" s="2" t="n"/>
      <c r="D787" s="2" t="n"/>
      <c r="E787" s="2" t="n"/>
      <c r="F787" s="2" t="n"/>
    </row>
    <row r="788" ht="15.75" customHeight="1" s="134">
      <c r="A788" s="2" t="n"/>
      <c r="B788" s="2" t="n"/>
      <c r="C788" s="2" t="n"/>
      <c r="D788" s="2" t="n"/>
      <c r="E788" s="2" t="n"/>
      <c r="F788" s="2" t="n"/>
    </row>
    <row r="789" ht="15.75" customHeight="1" s="134">
      <c r="A789" s="2" t="n"/>
      <c r="B789" s="2" t="n"/>
      <c r="C789" s="2" t="n"/>
      <c r="D789" s="2" t="n"/>
      <c r="E789" s="2" t="n"/>
      <c r="F789" s="2" t="n"/>
    </row>
    <row r="790" ht="15.75" customHeight="1" s="134">
      <c r="A790" s="2" t="n"/>
      <c r="B790" s="2" t="n"/>
      <c r="C790" s="2" t="n"/>
      <c r="D790" s="2" t="n"/>
      <c r="E790" s="2" t="n"/>
      <c r="F790" s="2" t="n"/>
    </row>
    <row r="791" ht="15.75" customHeight="1" s="134">
      <c r="A791" s="2" t="n"/>
      <c r="B791" s="2" t="n"/>
      <c r="C791" s="2" t="n"/>
      <c r="D791" s="2" t="n"/>
      <c r="E791" s="2" t="n"/>
      <c r="F791" s="2" t="n"/>
    </row>
    <row r="792" ht="15.75" customHeight="1" s="134">
      <c r="A792" s="2" t="n"/>
      <c r="B792" s="2" t="n"/>
      <c r="C792" s="2" t="n"/>
      <c r="D792" s="2" t="n"/>
      <c r="E792" s="2" t="n"/>
      <c r="F792" s="2" t="n"/>
    </row>
    <row r="793" ht="15.75" customHeight="1" s="134">
      <c r="A793" s="2" t="n"/>
      <c r="B793" s="2" t="n"/>
      <c r="C793" s="2" t="n"/>
      <c r="D793" s="2" t="n"/>
      <c r="E793" s="2" t="n"/>
      <c r="F793" s="2" t="n"/>
    </row>
    <row r="794" ht="15.75" customHeight="1" s="134">
      <c r="A794" s="2" t="n"/>
      <c r="B794" s="2" t="n"/>
      <c r="C794" s="2" t="n"/>
      <c r="D794" s="2" t="n"/>
      <c r="E794" s="2" t="n"/>
      <c r="F794" s="2" t="n"/>
    </row>
    <row r="795" ht="15.75" customHeight="1" s="134">
      <c r="A795" s="2" t="n"/>
      <c r="B795" s="2" t="n"/>
      <c r="C795" s="2" t="n"/>
      <c r="D795" s="2" t="n"/>
      <c r="E795" s="2" t="n"/>
      <c r="F795" s="2" t="n"/>
    </row>
    <row r="796" ht="15.75" customHeight="1" s="134">
      <c r="A796" s="2" t="n"/>
      <c r="B796" s="2" t="n"/>
      <c r="C796" s="2" t="n"/>
      <c r="D796" s="2" t="n"/>
      <c r="E796" s="2" t="n"/>
      <c r="F796" s="2" t="n"/>
    </row>
    <row r="797" ht="15.75" customHeight="1" s="134">
      <c r="A797" s="2" t="n"/>
      <c r="B797" s="2" t="n"/>
      <c r="C797" s="2" t="n"/>
      <c r="D797" s="2" t="n"/>
      <c r="E797" s="2" t="n"/>
      <c r="F797" s="2" t="n"/>
    </row>
    <row r="798" ht="15.75" customHeight="1" s="134">
      <c r="A798" s="2" t="n"/>
      <c r="B798" s="2" t="n"/>
      <c r="C798" s="2" t="n"/>
      <c r="D798" s="2" t="n"/>
      <c r="E798" s="2" t="n"/>
      <c r="F798" s="2" t="n"/>
    </row>
    <row r="799" ht="15.75" customHeight="1" s="134">
      <c r="A799" s="2" t="n"/>
      <c r="B799" s="2" t="n"/>
      <c r="C799" s="2" t="n"/>
      <c r="D799" s="2" t="n"/>
      <c r="E799" s="2" t="n"/>
      <c r="F799" s="2" t="n"/>
    </row>
    <row r="800" ht="15.75" customHeight="1" s="134">
      <c r="A800" s="2" t="n"/>
      <c r="B800" s="2" t="n"/>
      <c r="C800" s="2" t="n"/>
      <c r="D800" s="2" t="n"/>
      <c r="E800" s="2" t="n"/>
      <c r="F800" s="2" t="n"/>
    </row>
    <row r="801" ht="15.75" customHeight="1" s="134">
      <c r="A801" s="2" t="n"/>
      <c r="B801" s="2" t="n"/>
      <c r="C801" s="2" t="n"/>
      <c r="D801" s="2" t="n"/>
      <c r="E801" s="2" t="n"/>
      <c r="F801" s="2" t="n"/>
    </row>
    <row r="802" ht="15.75" customHeight="1" s="134">
      <c r="A802" s="2" t="n"/>
      <c r="B802" s="2" t="n"/>
      <c r="C802" s="2" t="n"/>
      <c r="D802" s="2" t="n"/>
      <c r="E802" s="2" t="n"/>
      <c r="F802" s="2" t="n"/>
    </row>
    <row r="803" ht="15.75" customHeight="1" s="134">
      <c r="A803" s="2" t="n"/>
      <c r="B803" s="2" t="n"/>
      <c r="C803" s="2" t="n"/>
      <c r="D803" s="2" t="n"/>
      <c r="E803" s="2" t="n"/>
      <c r="F803" s="2" t="n"/>
    </row>
    <row r="804" ht="15.75" customHeight="1" s="134">
      <c r="A804" s="2" t="n"/>
      <c r="B804" s="2" t="n"/>
      <c r="C804" s="2" t="n"/>
      <c r="D804" s="2" t="n"/>
      <c r="E804" s="2" t="n"/>
      <c r="F804" s="2" t="n"/>
    </row>
    <row r="805" ht="15.75" customHeight="1" s="134">
      <c r="A805" s="2" t="n"/>
      <c r="B805" s="2" t="n"/>
      <c r="C805" s="2" t="n"/>
      <c r="D805" s="2" t="n"/>
      <c r="E805" s="2" t="n"/>
      <c r="F805" s="2" t="n"/>
    </row>
    <row r="806" ht="15.75" customHeight="1" s="134">
      <c r="A806" s="2" t="n"/>
      <c r="B806" s="2" t="n"/>
      <c r="C806" s="2" t="n"/>
      <c r="D806" s="2" t="n"/>
      <c r="E806" s="2" t="n"/>
      <c r="F806" s="2" t="n"/>
    </row>
    <row r="807" ht="15.75" customHeight="1" s="134">
      <c r="A807" s="2" t="n"/>
      <c r="B807" s="2" t="n"/>
      <c r="C807" s="2" t="n"/>
      <c r="D807" s="2" t="n"/>
      <c r="E807" s="2" t="n"/>
      <c r="F807" s="2" t="n"/>
    </row>
    <row r="808" ht="15.75" customHeight="1" s="134">
      <c r="A808" s="2" t="n"/>
      <c r="B808" s="2" t="n"/>
      <c r="C808" s="2" t="n"/>
      <c r="D808" s="2" t="n"/>
      <c r="E808" s="2" t="n"/>
      <c r="F808" s="2" t="n"/>
    </row>
    <row r="809" ht="15.75" customHeight="1" s="134">
      <c r="A809" s="2" t="n"/>
      <c r="B809" s="2" t="n"/>
      <c r="C809" s="2" t="n"/>
      <c r="D809" s="2" t="n"/>
      <c r="E809" s="2" t="n"/>
      <c r="F809" s="2" t="n"/>
    </row>
    <row r="810" ht="15.75" customHeight="1" s="134">
      <c r="A810" s="2" t="n"/>
      <c r="B810" s="2" t="n"/>
      <c r="C810" s="2" t="n"/>
      <c r="D810" s="2" t="n"/>
      <c r="E810" s="2" t="n"/>
      <c r="F810" s="2" t="n"/>
    </row>
    <row r="811" ht="15.75" customHeight="1" s="134">
      <c r="A811" s="2" t="n"/>
      <c r="B811" s="2" t="n"/>
      <c r="C811" s="2" t="n"/>
      <c r="D811" s="2" t="n"/>
      <c r="E811" s="2" t="n"/>
      <c r="F811" s="2" t="n"/>
    </row>
    <row r="812" ht="15.75" customHeight="1" s="134">
      <c r="A812" s="2" t="n"/>
      <c r="B812" s="2" t="n"/>
      <c r="C812" s="2" t="n"/>
      <c r="D812" s="2" t="n"/>
      <c r="E812" s="2" t="n"/>
      <c r="F812" s="2" t="n"/>
    </row>
    <row r="813" ht="15.75" customHeight="1" s="134">
      <c r="A813" s="2" t="n"/>
      <c r="B813" s="2" t="n"/>
      <c r="C813" s="2" t="n"/>
      <c r="D813" s="2" t="n"/>
      <c r="E813" s="2" t="n"/>
      <c r="F813" s="2" t="n"/>
    </row>
    <row r="814" ht="15.75" customHeight="1" s="134">
      <c r="A814" s="2" t="n"/>
      <c r="B814" s="2" t="n"/>
      <c r="C814" s="2" t="n"/>
      <c r="D814" s="2" t="n"/>
      <c r="E814" s="2" t="n"/>
      <c r="F814" s="2" t="n"/>
    </row>
    <row r="815" ht="15.75" customHeight="1" s="134">
      <c r="A815" s="2" t="n"/>
      <c r="B815" s="2" t="n"/>
      <c r="C815" s="2" t="n"/>
      <c r="D815" s="2" t="n"/>
      <c r="E815" s="2" t="n"/>
      <c r="F815" s="2" t="n"/>
    </row>
    <row r="816" ht="15.75" customHeight="1" s="134">
      <c r="A816" s="2" t="n"/>
      <c r="B816" s="2" t="n"/>
      <c r="C816" s="2" t="n"/>
      <c r="D816" s="2" t="n"/>
      <c r="E816" s="2" t="n"/>
      <c r="F816" s="2" t="n"/>
    </row>
    <row r="817" ht="15.75" customHeight="1" s="134">
      <c r="A817" s="2" t="n"/>
      <c r="B817" s="2" t="n"/>
      <c r="C817" s="2" t="n"/>
      <c r="D817" s="2" t="n"/>
      <c r="E817" s="2" t="n"/>
      <c r="F817" s="2" t="n"/>
    </row>
    <row r="818" ht="15.75" customHeight="1" s="134">
      <c r="A818" s="2" t="n"/>
      <c r="B818" s="2" t="n"/>
      <c r="C818" s="2" t="n"/>
      <c r="D818" s="2" t="n"/>
      <c r="E818" s="2" t="n"/>
      <c r="F818" s="2" t="n"/>
    </row>
    <row r="819" ht="15.75" customHeight="1" s="134">
      <c r="A819" s="2" t="n"/>
      <c r="B819" s="2" t="n"/>
      <c r="C819" s="2" t="n"/>
      <c r="D819" s="2" t="n"/>
      <c r="E819" s="2" t="n"/>
      <c r="F819" s="2" t="n"/>
    </row>
    <row r="820" ht="15.75" customHeight="1" s="134">
      <c r="A820" s="2" t="n"/>
      <c r="B820" s="2" t="n"/>
      <c r="C820" s="2" t="n"/>
      <c r="D820" s="2" t="n"/>
      <c r="E820" s="2" t="n"/>
      <c r="F820" s="2" t="n"/>
    </row>
    <row r="821" ht="15.75" customHeight="1" s="134">
      <c r="A821" s="2" t="n"/>
      <c r="B821" s="2" t="n"/>
      <c r="C821" s="2" t="n"/>
      <c r="D821" s="2" t="n"/>
      <c r="E821" s="2" t="n"/>
      <c r="F821" s="2" t="n"/>
    </row>
    <row r="822" ht="15.75" customHeight="1" s="134">
      <c r="A822" s="2" t="n"/>
      <c r="B822" s="2" t="n"/>
      <c r="C822" s="2" t="n"/>
      <c r="D822" s="2" t="n"/>
      <c r="E822" s="2" t="n"/>
      <c r="F822" s="2" t="n"/>
    </row>
    <row r="823" ht="15.75" customHeight="1" s="134">
      <c r="A823" s="2" t="n"/>
      <c r="B823" s="2" t="n"/>
      <c r="C823" s="2" t="n"/>
      <c r="D823" s="2" t="n"/>
      <c r="E823" s="2" t="n"/>
      <c r="F823" s="2" t="n"/>
    </row>
    <row r="824" ht="15.75" customHeight="1" s="134">
      <c r="A824" s="2" t="n"/>
      <c r="B824" s="2" t="n"/>
      <c r="C824" s="2" t="n"/>
      <c r="D824" s="2" t="n"/>
      <c r="E824" s="2" t="n"/>
      <c r="F824" s="2" t="n"/>
    </row>
    <row r="825" ht="15.75" customHeight="1" s="134">
      <c r="A825" s="2" t="n"/>
      <c r="B825" s="2" t="n"/>
      <c r="C825" s="2" t="n"/>
      <c r="D825" s="2" t="n"/>
      <c r="E825" s="2" t="n"/>
      <c r="F825" s="2" t="n"/>
    </row>
    <row r="826" ht="15.75" customHeight="1" s="134">
      <c r="A826" s="2" t="n"/>
      <c r="B826" s="2" t="n"/>
      <c r="C826" s="2" t="n"/>
      <c r="D826" s="2" t="n"/>
      <c r="E826" s="2" t="n"/>
      <c r="F826" s="2" t="n"/>
    </row>
    <row r="827" ht="15.75" customHeight="1" s="134">
      <c r="A827" s="2" t="n"/>
      <c r="B827" s="2" t="n"/>
      <c r="C827" s="2" t="n"/>
      <c r="D827" s="2" t="n"/>
      <c r="E827" s="2" t="n"/>
      <c r="F827" s="2" t="n"/>
    </row>
    <row r="828" ht="15.75" customHeight="1" s="134">
      <c r="A828" s="2" t="n"/>
      <c r="B828" s="2" t="n"/>
      <c r="C828" s="2" t="n"/>
      <c r="D828" s="2" t="n"/>
      <c r="E828" s="2" t="n"/>
      <c r="F828" s="2" t="n"/>
    </row>
    <row r="829" ht="15.75" customHeight="1" s="134">
      <c r="A829" s="2" t="n"/>
      <c r="B829" s="2" t="n"/>
      <c r="C829" s="2" t="n"/>
      <c r="D829" s="2" t="n"/>
      <c r="E829" s="2" t="n"/>
      <c r="F829" s="2" t="n"/>
    </row>
    <row r="830" ht="15.75" customHeight="1" s="134">
      <c r="A830" s="2" t="n"/>
      <c r="B830" s="2" t="n"/>
      <c r="C830" s="2" t="n"/>
      <c r="D830" s="2" t="n"/>
      <c r="E830" s="2" t="n"/>
      <c r="F830" s="2" t="n"/>
    </row>
    <row r="831" ht="15.75" customHeight="1" s="134">
      <c r="A831" s="2" t="n"/>
      <c r="B831" s="2" t="n"/>
      <c r="C831" s="2" t="n"/>
      <c r="D831" s="2" t="n"/>
      <c r="E831" s="2" t="n"/>
      <c r="F831" s="2" t="n"/>
    </row>
    <row r="832" ht="15.75" customHeight="1" s="134">
      <c r="A832" s="2" t="n"/>
      <c r="B832" s="2" t="n"/>
      <c r="C832" s="2" t="n"/>
      <c r="D832" s="2" t="n"/>
      <c r="E832" s="2" t="n"/>
      <c r="F832" s="2" t="n"/>
    </row>
    <row r="833" ht="15.75" customHeight="1" s="134">
      <c r="A833" s="2" t="n"/>
      <c r="B833" s="2" t="n"/>
      <c r="C833" s="2" t="n"/>
      <c r="D833" s="2" t="n"/>
      <c r="E833" s="2" t="n"/>
      <c r="F833" s="2" t="n"/>
    </row>
    <row r="834" ht="15.75" customHeight="1" s="134">
      <c r="A834" s="2" t="n"/>
      <c r="B834" s="2" t="n"/>
      <c r="C834" s="2" t="n"/>
      <c r="D834" s="2" t="n"/>
      <c r="E834" s="2" t="n"/>
      <c r="F834" s="2" t="n"/>
    </row>
    <row r="835" ht="15.75" customHeight="1" s="134">
      <c r="A835" s="2" t="n"/>
      <c r="B835" s="2" t="n"/>
      <c r="C835" s="2" t="n"/>
      <c r="D835" s="2" t="n"/>
      <c r="E835" s="2" t="n"/>
      <c r="F835" s="2" t="n"/>
    </row>
    <row r="836" ht="15.75" customHeight="1" s="134">
      <c r="A836" s="2" t="n"/>
      <c r="B836" s="2" t="n"/>
      <c r="C836" s="2" t="n"/>
      <c r="D836" s="2" t="n"/>
      <c r="E836" s="2" t="n"/>
      <c r="F836" s="2" t="n"/>
    </row>
    <row r="837" ht="15.75" customHeight="1" s="134">
      <c r="A837" s="2" t="n"/>
      <c r="B837" s="2" t="n"/>
      <c r="C837" s="2" t="n"/>
      <c r="D837" s="2" t="n"/>
      <c r="E837" s="2" t="n"/>
      <c r="F837" s="2" t="n"/>
    </row>
    <row r="838" ht="15.75" customHeight="1" s="134">
      <c r="A838" s="2" t="n"/>
      <c r="B838" s="2" t="n"/>
      <c r="C838" s="2" t="n"/>
      <c r="D838" s="2" t="n"/>
      <c r="E838" s="2" t="n"/>
      <c r="F838" s="2" t="n"/>
    </row>
    <row r="839" ht="15.75" customHeight="1" s="134">
      <c r="A839" s="2" t="n"/>
      <c r="B839" s="2" t="n"/>
      <c r="C839" s="2" t="n"/>
      <c r="D839" s="2" t="n"/>
      <c r="E839" s="2" t="n"/>
      <c r="F839" s="2" t="n"/>
    </row>
    <row r="840" ht="15.75" customHeight="1" s="134">
      <c r="A840" s="2" t="n"/>
      <c r="B840" s="2" t="n"/>
      <c r="C840" s="2" t="n"/>
      <c r="D840" s="2" t="n"/>
      <c r="E840" s="2" t="n"/>
      <c r="F840" s="2" t="n"/>
    </row>
    <row r="841" ht="15.75" customHeight="1" s="134">
      <c r="A841" s="2" t="n"/>
      <c r="B841" s="2" t="n"/>
      <c r="C841" s="2" t="n"/>
      <c r="D841" s="2" t="n"/>
      <c r="E841" s="2" t="n"/>
      <c r="F841" s="2" t="n"/>
    </row>
    <row r="842" ht="15.75" customHeight="1" s="134">
      <c r="A842" s="2" t="n"/>
      <c r="B842" s="2" t="n"/>
      <c r="C842" s="2" t="n"/>
      <c r="D842" s="2" t="n"/>
      <c r="E842" s="2" t="n"/>
      <c r="F842" s="2" t="n"/>
    </row>
    <row r="843" ht="15.75" customHeight="1" s="134">
      <c r="A843" s="2" t="n"/>
      <c r="B843" s="2" t="n"/>
      <c r="C843" s="2" t="n"/>
      <c r="D843" s="2" t="n"/>
      <c r="E843" s="2" t="n"/>
      <c r="F843" s="2" t="n"/>
    </row>
    <row r="844" ht="15.75" customHeight="1" s="134">
      <c r="A844" s="2" t="n"/>
      <c r="B844" s="2" t="n"/>
      <c r="C844" s="2" t="n"/>
      <c r="D844" s="2" t="n"/>
      <c r="E844" s="2" t="n"/>
      <c r="F844" s="2" t="n"/>
    </row>
    <row r="845" ht="15.75" customHeight="1" s="134">
      <c r="A845" s="2" t="n"/>
      <c r="B845" s="2" t="n"/>
      <c r="C845" s="2" t="n"/>
      <c r="D845" s="2" t="n"/>
      <c r="E845" s="2" t="n"/>
      <c r="F845" s="2" t="n"/>
    </row>
    <row r="846" ht="15.75" customHeight="1" s="134">
      <c r="A846" s="2" t="n"/>
      <c r="B846" s="2" t="n"/>
      <c r="C846" s="2" t="n"/>
      <c r="D846" s="2" t="n"/>
      <c r="E846" s="2" t="n"/>
      <c r="F846" s="2" t="n"/>
    </row>
    <row r="847" ht="15.75" customHeight="1" s="134">
      <c r="A847" s="2" t="n"/>
      <c r="B847" s="2" t="n"/>
      <c r="C847" s="2" t="n"/>
      <c r="D847" s="2" t="n"/>
      <c r="E847" s="2" t="n"/>
      <c r="F847" s="2" t="n"/>
    </row>
    <row r="848" ht="15.75" customHeight="1" s="134">
      <c r="A848" s="2" t="n"/>
      <c r="B848" s="2" t="n"/>
      <c r="C848" s="2" t="n"/>
      <c r="D848" s="2" t="n"/>
      <c r="E848" s="2" t="n"/>
      <c r="F848" s="2" t="n"/>
    </row>
    <row r="849" ht="15.75" customHeight="1" s="134">
      <c r="A849" s="2" t="n"/>
      <c r="B849" s="2" t="n"/>
      <c r="C849" s="2" t="n"/>
      <c r="D849" s="2" t="n"/>
      <c r="E849" s="2" t="n"/>
      <c r="F849" s="2" t="n"/>
    </row>
    <row r="850" ht="15.75" customHeight="1" s="134">
      <c r="A850" s="2" t="n"/>
      <c r="B850" s="2" t="n"/>
      <c r="C850" s="2" t="n"/>
      <c r="D850" s="2" t="n"/>
      <c r="E850" s="2" t="n"/>
      <c r="F850" s="2" t="n"/>
    </row>
    <row r="851" ht="15.75" customHeight="1" s="134">
      <c r="A851" s="2" t="n"/>
      <c r="B851" s="2" t="n"/>
      <c r="C851" s="2" t="n"/>
      <c r="D851" s="2" t="n"/>
      <c r="E851" s="2" t="n"/>
      <c r="F851" s="2" t="n"/>
    </row>
    <row r="852" ht="15.75" customHeight="1" s="134">
      <c r="A852" s="2" t="n"/>
      <c r="B852" s="2" t="n"/>
      <c r="C852" s="2" t="n"/>
      <c r="D852" s="2" t="n"/>
      <c r="E852" s="2" t="n"/>
      <c r="F852" s="2" t="n"/>
    </row>
    <row r="853" ht="15.75" customHeight="1" s="134">
      <c r="A853" s="2" t="n"/>
      <c r="B853" s="2" t="n"/>
      <c r="C853" s="2" t="n"/>
      <c r="D853" s="2" t="n"/>
      <c r="E853" s="2" t="n"/>
      <c r="F853" s="2" t="n"/>
    </row>
    <row r="854" ht="15.75" customHeight="1" s="134">
      <c r="A854" s="2" t="n"/>
      <c r="B854" s="2" t="n"/>
      <c r="C854" s="2" t="n"/>
      <c r="D854" s="2" t="n"/>
      <c r="E854" s="2" t="n"/>
      <c r="F854" s="2" t="n"/>
    </row>
    <row r="855" ht="15.75" customHeight="1" s="134">
      <c r="A855" s="2" t="n"/>
      <c r="B855" s="2" t="n"/>
      <c r="C855" s="2" t="n"/>
      <c r="D855" s="2" t="n"/>
      <c r="E855" s="2" t="n"/>
      <c r="F855" s="2" t="n"/>
    </row>
    <row r="856" ht="15.75" customHeight="1" s="134">
      <c r="A856" s="2" t="n"/>
      <c r="B856" s="2" t="n"/>
      <c r="C856" s="2" t="n"/>
      <c r="D856" s="2" t="n"/>
      <c r="E856" s="2" t="n"/>
      <c r="F856" s="2" t="n"/>
    </row>
    <row r="857" ht="15.75" customHeight="1" s="134">
      <c r="A857" s="2" t="n"/>
      <c r="B857" s="2" t="n"/>
      <c r="C857" s="2" t="n"/>
      <c r="D857" s="2" t="n"/>
      <c r="E857" s="2" t="n"/>
      <c r="F857" s="2" t="n"/>
    </row>
    <row r="858" ht="15.75" customHeight="1" s="134">
      <c r="A858" s="2" t="n"/>
      <c r="B858" s="2" t="n"/>
      <c r="C858" s="2" t="n"/>
      <c r="D858" s="2" t="n"/>
      <c r="E858" s="2" t="n"/>
      <c r="F858" s="2" t="n"/>
    </row>
    <row r="859" ht="15.75" customHeight="1" s="134">
      <c r="A859" s="2" t="n"/>
      <c r="B859" s="2" t="n"/>
      <c r="C859" s="2" t="n"/>
      <c r="D859" s="2" t="n"/>
      <c r="E859" s="2" t="n"/>
      <c r="F859" s="2" t="n"/>
    </row>
    <row r="860" ht="15.75" customHeight="1" s="134">
      <c r="A860" s="2" t="n"/>
      <c r="B860" s="2" t="n"/>
      <c r="C860" s="2" t="n"/>
      <c r="D860" s="2" t="n"/>
      <c r="E860" s="2" t="n"/>
      <c r="F860" s="2" t="n"/>
    </row>
    <row r="861" ht="15.75" customHeight="1" s="134">
      <c r="A861" s="2" t="n"/>
      <c r="B861" s="2" t="n"/>
      <c r="C861" s="2" t="n"/>
      <c r="D861" s="2" t="n"/>
      <c r="E861" s="2" t="n"/>
      <c r="F861" s="2" t="n"/>
    </row>
    <row r="862" ht="15.75" customHeight="1" s="134">
      <c r="A862" s="2" t="n"/>
      <c r="B862" s="2" t="n"/>
      <c r="C862" s="2" t="n"/>
      <c r="D862" s="2" t="n"/>
      <c r="E862" s="2" t="n"/>
      <c r="F862" s="2" t="n"/>
    </row>
    <row r="863" ht="15.75" customHeight="1" s="134">
      <c r="A863" s="2" t="n"/>
      <c r="B863" s="2" t="n"/>
      <c r="C863" s="2" t="n"/>
      <c r="D863" s="2" t="n"/>
      <c r="E863" s="2" t="n"/>
      <c r="F863" s="2" t="n"/>
    </row>
    <row r="864" ht="15.75" customHeight="1" s="134">
      <c r="A864" s="2" t="n"/>
      <c r="B864" s="2" t="n"/>
      <c r="C864" s="2" t="n"/>
      <c r="D864" s="2" t="n"/>
      <c r="E864" s="2" t="n"/>
      <c r="F864" s="2" t="n"/>
    </row>
    <row r="865" ht="15.75" customHeight="1" s="134">
      <c r="A865" s="2" t="n"/>
      <c r="B865" s="2" t="n"/>
      <c r="C865" s="2" t="n"/>
      <c r="D865" s="2" t="n"/>
      <c r="E865" s="2" t="n"/>
      <c r="F865" s="2" t="n"/>
    </row>
    <row r="866" ht="15.75" customHeight="1" s="134">
      <c r="A866" s="2" t="n"/>
      <c r="B866" s="2" t="n"/>
      <c r="C866" s="2" t="n"/>
      <c r="D866" s="2" t="n"/>
      <c r="E866" s="2" t="n"/>
      <c r="F866" s="2" t="n"/>
    </row>
    <row r="867" ht="15.75" customHeight="1" s="134">
      <c r="A867" s="2" t="n"/>
      <c r="B867" s="2" t="n"/>
      <c r="C867" s="2" t="n"/>
      <c r="D867" s="2" t="n"/>
      <c r="E867" s="2" t="n"/>
      <c r="F867" s="2" t="n"/>
    </row>
    <row r="868" ht="15.75" customHeight="1" s="134">
      <c r="A868" s="2" t="n"/>
      <c r="B868" s="2" t="n"/>
      <c r="C868" s="2" t="n"/>
      <c r="D868" s="2" t="n"/>
      <c r="E868" s="2" t="n"/>
      <c r="F868" s="2" t="n"/>
    </row>
    <row r="869" ht="15.75" customHeight="1" s="134">
      <c r="A869" s="2" t="n"/>
      <c r="B869" s="2" t="n"/>
      <c r="C869" s="2" t="n"/>
      <c r="D869" s="2" t="n"/>
      <c r="E869" s="2" t="n"/>
      <c r="F869" s="2" t="n"/>
    </row>
    <row r="870" ht="15.75" customHeight="1" s="134">
      <c r="A870" s="2" t="n"/>
      <c r="B870" s="2" t="n"/>
      <c r="C870" s="2" t="n"/>
      <c r="D870" s="2" t="n"/>
      <c r="E870" s="2" t="n"/>
      <c r="F870" s="2" t="n"/>
    </row>
    <row r="871" ht="15.75" customHeight="1" s="134">
      <c r="A871" s="2" t="n"/>
      <c r="B871" s="2" t="n"/>
      <c r="C871" s="2" t="n"/>
      <c r="D871" s="2" t="n"/>
      <c r="E871" s="2" t="n"/>
      <c r="F871" s="2" t="n"/>
    </row>
    <row r="872" ht="15.75" customHeight="1" s="134">
      <c r="A872" s="2" t="n"/>
      <c r="B872" s="2" t="n"/>
      <c r="C872" s="2" t="n"/>
      <c r="D872" s="2" t="n"/>
      <c r="E872" s="2" t="n"/>
      <c r="F872" s="2" t="n"/>
    </row>
    <row r="873" ht="15.75" customHeight="1" s="134">
      <c r="A873" s="2" t="n"/>
      <c r="B873" s="2" t="n"/>
      <c r="C873" s="2" t="n"/>
      <c r="D873" s="2" t="n"/>
      <c r="E873" s="2" t="n"/>
      <c r="F873" s="2" t="n"/>
    </row>
    <row r="874" ht="15.75" customHeight="1" s="134">
      <c r="A874" s="2" t="n"/>
      <c r="B874" s="2" t="n"/>
      <c r="C874" s="2" t="n"/>
      <c r="D874" s="2" t="n"/>
      <c r="E874" s="2" t="n"/>
      <c r="F874" s="2" t="n"/>
    </row>
    <row r="875" ht="15.75" customHeight="1" s="134">
      <c r="A875" s="2" t="n"/>
      <c r="B875" s="2" t="n"/>
      <c r="C875" s="2" t="n"/>
      <c r="D875" s="2" t="n"/>
      <c r="E875" s="2" t="n"/>
      <c r="F875" s="2" t="n"/>
    </row>
    <row r="876" ht="15.75" customHeight="1" s="134">
      <c r="A876" s="2" t="n"/>
      <c r="B876" s="2" t="n"/>
      <c r="C876" s="2" t="n"/>
      <c r="D876" s="2" t="n"/>
      <c r="E876" s="2" t="n"/>
      <c r="F876" s="2" t="n"/>
    </row>
    <row r="877" ht="15.75" customHeight="1" s="134">
      <c r="A877" s="2" t="n"/>
      <c r="B877" s="2" t="n"/>
      <c r="C877" s="2" t="n"/>
      <c r="D877" s="2" t="n"/>
      <c r="E877" s="2" t="n"/>
      <c r="F877" s="2" t="n"/>
    </row>
    <row r="878" ht="15.75" customHeight="1" s="134">
      <c r="A878" s="2" t="n"/>
      <c r="B878" s="2" t="n"/>
      <c r="C878" s="2" t="n"/>
      <c r="D878" s="2" t="n"/>
      <c r="E878" s="2" t="n"/>
      <c r="F878" s="2" t="n"/>
    </row>
    <row r="879" ht="15.75" customHeight="1" s="134">
      <c r="A879" s="2" t="n"/>
      <c r="B879" s="2" t="n"/>
      <c r="C879" s="2" t="n"/>
      <c r="D879" s="2" t="n"/>
      <c r="E879" s="2" t="n"/>
      <c r="F879" s="2" t="n"/>
    </row>
    <row r="880" ht="15.75" customHeight="1" s="134">
      <c r="A880" s="2" t="n"/>
      <c r="B880" s="2" t="n"/>
      <c r="C880" s="2" t="n"/>
      <c r="D880" s="2" t="n"/>
      <c r="E880" s="2" t="n"/>
      <c r="F880" s="2" t="n"/>
    </row>
    <row r="881" ht="15.75" customHeight="1" s="134">
      <c r="A881" s="2" t="n"/>
      <c r="B881" s="2" t="n"/>
      <c r="C881" s="2" t="n"/>
      <c r="D881" s="2" t="n"/>
      <c r="E881" s="2" t="n"/>
      <c r="F881" s="2" t="n"/>
    </row>
    <row r="882" ht="15.75" customHeight="1" s="134">
      <c r="A882" s="2" t="n"/>
      <c r="B882" s="2" t="n"/>
      <c r="C882" s="2" t="n"/>
      <c r="D882" s="2" t="n"/>
      <c r="E882" s="2" t="n"/>
      <c r="F882" s="2" t="n"/>
    </row>
    <row r="883" ht="15.75" customHeight="1" s="134">
      <c r="A883" s="2" t="n"/>
      <c r="B883" s="2" t="n"/>
      <c r="C883" s="2" t="n"/>
      <c r="D883" s="2" t="n"/>
      <c r="E883" s="2" t="n"/>
      <c r="F883" s="2" t="n"/>
    </row>
    <row r="884" ht="15.75" customHeight="1" s="134">
      <c r="A884" s="2" t="n"/>
      <c r="B884" s="2" t="n"/>
      <c r="C884" s="2" t="n"/>
      <c r="D884" s="2" t="n"/>
      <c r="E884" s="2" t="n"/>
      <c r="F884" s="2" t="n"/>
    </row>
    <row r="885" ht="15.75" customHeight="1" s="134">
      <c r="A885" s="2" t="n"/>
      <c r="B885" s="2" t="n"/>
      <c r="C885" s="2" t="n"/>
      <c r="D885" s="2" t="n"/>
      <c r="E885" s="2" t="n"/>
      <c r="F885" s="2" t="n"/>
    </row>
    <row r="886" ht="15.75" customHeight="1" s="134">
      <c r="A886" s="2" t="n"/>
      <c r="B886" s="2" t="n"/>
      <c r="C886" s="2" t="n"/>
      <c r="D886" s="2" t="n"/>
      <c r="E886" s="2" t="n"/>
      <c r="F886" s="2" t="n"/>
    </row>
    <row r="887" ht="15.75" customHeight="1" s="134">
      <c r="A887" s="2" t="n"/>
      <c r="B887" s="2" t="n"/>
      <c r="C887" s="2" t="n"/>
      <c r="D887" s="2" t="n"/>
      <c r="E887" s="2" t="n"/>
      <c r="F887" s="2" t="n"/>
    </row>
    <row r="888" ht="15.75" customHeight="1" s="134">
      <c r="A888" s="2" t="n"/>
      <c r="B888" s="2" t="n"/>
      <c r="C888" s="2" t="n"/>
      <c r="D888" s="2" t="n"/>
      <c r="E888" s="2" t="n"/>
      <c r="F888" s="2" t="n"/>
    </row>
    <row r="889" ht="15.75" customHeight="1" s="134">
      <c r="A889" s="2" t="n"/>
      <c r="B889" s="2" t="n"/>
      <c r="C889" s="2" t="n"/>
      <c r="D889" s="2" t="n"/>
      <c r="E889" s="2" t="n"/>
      <c r="F889" s="2" t="n"/>
    </row>
    <row r="890" ht="15.75" customHeight="1" s="134">
      <c r="A890" s="2" t="n"/>
      <c r="B890" s="2" t="n"/>
      <c r="C890" s="2" t="n"/>
      <c r="D890" s="2" t="n"/>
      <c r="E890" s="2" t="n"/>
      <c r="F890" s="2" t="n"/>
    </row>
    <row r="891" ht="15.75" customHeight="1" s="134">
      <c r="A891" s="2" t="n"/>
      <c r="B891" s="2" t="n"/>
      <c r="C891" s="2" t="n"/>
      <c r="D891" s="2" t="n"/>
      <c r="E891" s="2" t="n"/>
      <c r="F891" s="2" t="n"/>
    </row>
    <row r="892" ht="15.75" customHeight="1" s="134">
      <c r="A892" s="2" t="n"/>
      <c r="B892" s="2" t="n"/>
      <c r="C892" s="2" t="n"/>
      <c r="D892" s="2" t="n"/>
      <c r="E892" s="2" t="n"/>
      <c r="F892" s="2" t="n"/>
    </row>
    <row r="893" ht="15.75" customHeight="1" s="134">
      <c r="A893" s="2" t="n"/>
      <c r="B893" s="2" t="n"/>
      <c r="C893" s="2" t="n"/>
      <c r="D893" s="2" t="n"/>
      <c r="E893" s="2" t="n"/>
      <c r="F893" s="2" t="n"/>
    </row>
    <row r="894" ht="15.75" customHeight="1" s="134">
      <c r="A894" s="2" t="n"/>
      <c r="B894" s="2" t="n"/>
      <c r="C894" s="2" t="n"/>
      <c r="D894" s="2" t="n"/>
      <c r="E894" s="2" t="n"/>
      <c r="F894" s="2" t="n"/>
    </row>
    <row r="895" ht="15.75" customHeight="1" s="134">
      <c r="A895" s="2" t="n"/>
      <c r="B895" s="2" t="n"/>
      <c r="C895" s="2" t="n"/>
      <c r="D895" s="2" t="n"/>
      <c r="E895" s="2" t="n"/>
      <c r="F895" s="2" t="n"/>
    </row>
    <row r="896" ht="15.75" customHeight="1" s="134">
      <c r="A896" s="2" t="n"/>
      <c r="B896" s="2" t="n"/>
      <c r="C896" s="2" t="n"/>
      <c r="D896" s="2" t="n"/>
      <c r="E896" s="2" t="n"/>
      <c r="F896" s="2" t="n"/>
    </row>
    <row r="897" ht="15.75" customHeight="1" s="134">
      <c r="A897" s="2" t="n"/>
      <c r="B897" s="2" t="n"/>
      <c r="C897" s="2" t="n"/>
      <c r="D897" s="2" t="n"/>
      <c r="E897" s="2" t="n"/>
      <c r="F897" s="2" t="n"/>
    </row>
    <row r="898" ht="15.75" customHeight="1" s="134">
      <c r="A898" s="2" t="n"/>
      <c r="B898" s="2" t="n"/>
      <c r="C898" s="2" t="n"/>
      <c r="D898" s="2" t="n"/>
      <c r="E898" s="2" t="n"/>
      <c r="F898" s="2" t="n"/>
    </row>
    <row r="899" ht="15.75" customHeight="1" s="134">
      <c r="A899" s="2" t="n"/>
      <c r="B899" s="2" t="n"/>
      <c r="C899" s="2" t="n"/>
      <c r="D899" s="2" t="n"/>
      <c r="E899" s="2" t="n"/>
      <c r="F899" s="2" t="n"/>
    </row>
    <row r="900" ht="15.75" customHeight="1" s="134">
      <c r="A900" s="2" t="n"/>
      <c r="B900" s="2" t="n"/>
      <c r="C900" s="2" t="n"/>
      <c r="D900" s="2" t="n"/>
      <c r="E900" s="2" t="n"/>
      <c r="F900" s="2" t="n"/>
    </row>
    <row r="901" ht="15.75" customHeight="1" s="134">
      <c r="A901" s="2" t="n"/>
      <c r="B901" s="2" t="n"/>
      <c r="C901" s="2" t="n"/>
      <c r="D901" s="2" t="n"/>
      <c r="E901" s="2" t="n"/>
      <c r="F901" s="2" t="n"/>
    </row>
    <row r="902" ht="15.75" customHeight="1" s="134">
      <c r="A902" s="2" t="n"/>
      <c r="B902" s="2" t="n"/>
      <c r="C902" s="2" t="n"/>
      <c r="D902" s="2" t="n"/>
      <c r="E902" s="2" t="n"/>
      <c r="F902" s="2" t="n"/>
    </row>
    <row r="903" ht="15.75" customHeight="1" s="134">
      <c r="A903" s="2" t="n"/>
      <c r="B903" s="2" t="n"/>
      <c r="C903" s="2" t="n"/>
      <c r="D903" s="2" t="n"/>
      <c r="E903" s="2" t="n"/>
      <c r="F903" s="2" t="n"/>
    </row>
    <row r="904" ht="15.75" customHeight="1" s="134">
      <c r="A904" s="2" t="n"/>
      <c r="B904" s="2" t="n"/>
      <c r="C904" s="2" t="n"/>
      <c r="D904" s="2" t="n"/>
      <c r="E904" s="2" t="n"/>
      <c r="F904" s="2" t="n"/>
    </row>
    <row r="905" ht="15.75" customHeight="1" s="134">
      <c r="A905" s="2" t="n"/>
      <c r="B905" s="2" t="n"/>
      <c r="C905" s="2" t="n"/>
      <c r="D905" s="2" t="n"/>
      <c r="E905" s="2" t="n"/>
      <c r="F905" s="2" t="n"/>
    </row>
    <row r="906" ht="15.75" customHeight="1" s="134">
      <c r="A906" s="2" t="n"/>
      <c r="B906" s="2" t="n"/>
      <c r="C906" s="2" t="n"/>
      <c r="D906" s="2" t="n"/>
      <c r="E906" s="2" t="n"/>
      <c r="F906" s="2" t="n"/>
    </row>
    <row r="907" ht="15.75" customHeight="1" s="134">
      <c r="A907" s="2" t="n"/>
      <c r="B907" s="2" t="n"/>
      <c r="C907" s="2" t="n"/>
      <c r="D907" s="2" t="n"/>
      <c r="E907" s="2" t="n"/>
      <c r="F907" s="2" t="n"/>
    </row>
    <row r="908" ht="15.75" customHeight="1" s="134">
      <c r="A908" s="2" t="n"/>
      <c r="B908" s="2" t="n"/>
      <c r="C908" s="2" t="n"/>
      <c r="D908" s="2" t="n"/>
      <c r="E908" s="2" t="n"/>
      <c r="F908" s="2" t="n"/>
    </row>
    <row r="909" ht="15.75" customHeight="1" s="134">
      <c r="A909" s="2" t="n"/>
      <c r="B909" s="2" t="n"/>
      <c r="C909" s="2" t="n"/>
      <c r="D909" s="2" t="n"/>
      <c r="E909" s="2" t="n"/>
      <c r="F909" s="2" t="n"/>
    </row>
    <row r="910" ht="15.75" customHeight="1" s="134">
      <c r="A910" s="2" t="n"/>
      <c r="B910" s="2" t="n"/>
      <c r="C910" s="2" t="n"/>
      <c r="D910" s="2" t="n"/>
      <c r="E910" s="2" t="n"/>
      <c r="F910" s="2" t="n"/>
    </row>
    <row r="911" ht="15.75" customHeight="1" s="134">
      <c r="A911" s="2" t="n"/>
      <c r="B911" s="2" t="n"/>
      <c r="C911" s="2" t="n"/>
      <c r="D911" s="2" t="n"/>
      <c r="E911" s="2" t="n"/>
      <c r="F911" s="2" t="n"/>
    </row>
    <row r="912" ht="15.75" customHeight="1" s="134">
      <c r="A912" s="2" t="n"/>
      <c r="B912" s="2" t="n"/>
      <c r="C912" s="2" t="n"/>
      <c r="D912" s="2" t="n"/>
      <c r="E912" s="2" t="n"/>
      <c r="F912" s="2" t="n"/>
    </row>
    <row r="913" ht="15.75" customHeight="1" s="134">
      <c r="A913" s="2" t="n"/>
      <c r="B913" s="2" t="n"/>
      <c r="C913" s="2" t="n"/>
      <c r="D913" s="2" t="n"/>
      <c r="E913" s="2" t="n"/>
      <c r="F913" s="2" t="n"/>
    </row>
    <row r="914" ht="15.75" customHeight="1" s="134">
      <c r="A914" s="2" t="n"/>
      <c r="B914" s="2" t="n"/>
      <c r="C914" s="2" t="n"/>
      <c r="D914" s="2" t="n"/>
      <c r="E914" s="2" t="n"/>
      <c r="F914" s="2" t="n"/>
    </row>
    <row r="915" ht="15.75" customHeight="1" s="134">
      <c r="A915" s="2" t="n"/>
      <c r="B915" s="2" t="n"/>
      <c r="C915" s="2" t="n"/>
      <c r="D915" s="2" t="n"/>
      <c r="E915" s="2" t="n"/>
      <c r="F915" s="2" t="n"/>
    </row>
    <row r="916" ht="15.75" customHeight="1" s="134">
      <c r="A916" s="2" t="n"/>
      <c r="B916" s="2" t="n"/>
      <c r="C916" s="2" t="n"/>
      <c r="D916" s="2" t="n"/>
      <c r="E916" s="2" t="n"/>
      <c r="F916" s="2" t="n"/>
    </row>
    <row r="917" ht="15.75" customHeight="1" s="134">
      <c r="A917" s="2" t="n"/>
      <c r="B917" s="2" t="n"/>
      <c r="C917" s="2" t="n"/>
      <c r="D917" s="2" t="n"/>
      <c r="E917" s="2" t="n"/>
      <c r="F917" s="2" t="n"/>
    </row>
    <row r="918" ht="15.75" customHeight="1" s="134">
      <c r="A918" s="2" t="n"/>
      <c r="B918" s="2" t="n"/>
      <c r="C918" s="2" t="n"/>
      <c r="D918" s="2" t="n"/>
      <c r="E918" s="2" t="n"/>
      <c r="F918" s="2" t="n"/>
    </row>
    <row r="919" ht="15.75" customHeight="1" s="134">
      <c r="A919" s="2" t="n"/>
      <c r="B919" s="2" t="n"/>
      <c r="C919" s="2" t="n"/>
      <c r="D919" s="2" t="n"/>
      <c r="E919" s="2" t="n"/>
      <c r="F919" s="2" t="n"/>
    </row>
    <row r="920" ht="15.75" customHeight="1" s="134">
      <c r="A920" s="2" t="n"/>
      <c r="B920" s="2" t="n"/>
      <c r="C920" s="2" t="n"/>
      <c r="D920" s="2" t="n"/>
      <c r="E920" s="2" t="n"/>
      <c r="F920" s="2" t="n"/>
    </row>
    <row r="921" ht="15.75" customHeight="1" s="134">
      <c r="A921" s="2" t="n"/>
      <c r="B921" s="2" t="n"/>
      <c r="C921" s="2" t="n"/>
      <c r="D921" s="2" t="n"/>
      <c r="E921" s="2" t="n"/>
      <c r="F921" s="2" t="n"/>
    </row>
    <row r="922" ht="15.75" customHeight="1" s="134">
      <c r="A922" s="2" t="n"/>
      <c r="B922" s="2" t="n"/>
      <c r="C922" s="2" t="n"/>
      <c r="D922" s="2" t="n"/>
      <c r="E922" s="2" t="n"/>
      <c r="F922" s="2" t="n"/>
    </row>
    <row r="923" ht="15.75" customHeight="1" s="134">
      <c r="A923" s="2" t="n"/>
      <c r="B923" s="2" t="n"/>
      <c r="C923" s="2" t="n"/>
      <c r="D923" s="2" t="n"/>
      <c r="E923" s="2" t="n"/>
      <c r="F923" s="2" t="n"/>
    </row>
    <row r="924" ht="15.75" customHeight="1" s="134">
      <c r="A924" s="2" t="n"/>
      <c r="B924" s="2" t="n"/>
      <c r="C924" s="2" t="n"/>
      <c r="D924" s="2" t="n"/>
      <c r="E924" s="2" t="n"/>
      <c r="F924" s="2" t="n"/>
    </row>
    <row r="925" ht="15.75" customHeight="1" s="134">
      <c r="A925" s="2" t="n"/>
      <c r="B925" s="2" t="n"/>
      <c r="C925" s="2" t="n"/>
      <c r="D925" s="2" t="n"/>
      <c r="E925" s="2" t="n"/>
      <c r="F925" s="2" t="n"/>
    </row>
    <row r="926" ht="15.75" customHeight="1" s="134">
      <c r="A926" s="2" t="n"/>
      <c r="B926" s="2" t="n"/>
      <c r="C926" s="2" t="n"/>
      <c r="D926" s="2" t="n"/>
      <c r="E926" s="2" t="n"/>
      <c r="F926" s="2" t="n"/>
    </row>
    <row r="927" ht="15.75" customHeight="1" s="134">
      <c r="A927" s="2" t="n"/>
      <c r="B927" s="2" t="n"/>
      <c r="C927" s="2" t="n"/>
      <c r="D927" s="2" t="n"/>
      <c r="E927" s="2" t="n"/>
      <c r="F927" s="2" t="n"/>
    </row>
    <row r="928" ht="15.75" customHeight="1" s="134">
      <c r="A928" s="2" t="n"/>
      <c r="B928" s="2" t="n"/>
      <c r="C928" s="2" t="n"/>
      <c r="D928" s="2" t="n"/>
      <c r="E928" s="2" t="n"/>
      <c r="F928" s="2" t="n"/>
    </row>
    <row r="929" ht="15.75" customHeight="1" s="134">
      <c r="A929" s="2" t="n"/>
      <c r="B929" s="2" t="n"/>
      <c r="C929" s="2" t="n"/>
      <c r="D929" s="2" t="n"/>
      <c r="E929" s="2" t="n"/>
      <c r="F929" s="2" t="n"/>
    </row>
    <row r="930" ht="15.75" customHeight="1" s="134">
      <c r="A930" s="2" t="n"/>
      <c r="B930" s="2" t="n"/>
      <c r="C930" s="2" t="n"/>
      <c r="D930" s="2" t="n"/>
      <c r="E930" s="2" t="n"/>
      <c r="F930" s="2" t="n"/>
    </row>
    <row r="931" ht="15.75" customHeight="1" s="134">
      <c r="A931" s="2" t="n"/>
      <c r="B931" s="2" t="n"/>
      <c r="C931" s="2" t="n"/>
      <c r="D931" s="2" t="n"/>
      <c r="E931" s="2" t="n"/>
      <c r="F931" s="2" t="n"/>
    </row>
    <row r="932" ht="15.75" customHeight="1" s="134">
      <c r="A932" s="2" t="n"/>
      <c r="B932" s="2" t="n"/>
      <c r="C932" s="2" t="n"/>
      <c r="D932" s="2" t="n"/>
      <c r="E932" s="2" t="n"/>
      <c r="F932" s="2" t="n"/>
    </row>
    <row r="933" ht="15.75" customHeight="1" s="134">
      <c r="A933" s="2" t="n"/>
      <c r="B933" s="2" t="n"/>
      <c r="C933" s="2" t="n"/>
      <c r="D933" s="2" t="n"/>
      <c r="E933" s="2" t="n"/>
      <c r="F933" s="2" t="n"/>
    </row>
    <row r="934" ht="15.75" customHeight="1" s="134">
      <c r="A934" s="2" t="n"/>
      <c r="B934" s="2" t="n"/>
      <c r="C934" s="2" t="n"/>
      <c r="D934" s="2" t="n"/>
      <c r="E934" s="2" t="n"/>
      <c r="F934" s="2" t="n"/>
    </row>
    <row r="935" ht="15.75" customHeight="1" s="134">
      <c r="A935" s="2" t="n"/>
      <c r="B935" s="2" t="n"/>
      <c r="C935" s="2" t="n"/>
      <c r="D935" s="2" t="n"/>
      <c r="E935" s="2" t="n"/>
      <c r="F935" s="2" t="n"/>
    </row>
    <row r="936" ht="15.75" customHeight="1" s="134">
      <c r="A936" s="2" t="n"/>
      <c r="B936" s="2" t="n"/>
      <c r="C936" s="2" t="n"/>
      <c r="D936" s="2" t="n"/>
      <c r="E936" s="2" t="n"/>
      <c r="F936" s="2" t="n"/>
    </row>
    <row r="937" ht="15.75" customHeight="1" s="134">
      <c r="A937" s="2" t="n"/>
      <c r="B937" s="2" t="n"/>
      <c r="C937" s="2" t="n"/>
      <c r="D937" s="2" t="n"/>
      <c r="E937" s="2" t="n"/>
      <c r="F937" s="2" t="n"/>
    </row>
    <row r="938" ht="15.75" customHeight="1" s="134">
      <c r="A938" s="2" t="n"/>
      <c r="B938" s="2" t="n"/>
      <c r="C938" s="2" t="n"/>
      <c r="D938" s="2" t="n"/>
      <c r="E938" s="2" t="n"/>
      <c r="F938" s="2" t="n"/>
    </row>
    <row r="939" ht="15.75" customHeight="1" s="134">
      <c r="A939" s="2" t="n"/>
      <c r="B939" s="2" t="n"/>
      <c r="C939" s="2" t="n"/>
      <c r="D939" s="2" t="n"/>
      <c r="E939" s="2" t="n"/>
      <c r="F939" s="2" t="n"/>
    </row>
    <row r="940" ht="15.75" customHeight="1" s="134">
      <c r="A940" s="2" t="n"/>
      <c r="B940" s="2" t="n"/>
      <c r="C940" s="2" t="n"/>
      <c r="D940" s="2" t="n"/>
      <c r="E940" s="2" t="n"/>
      <c r="F940" s="2" t="n"/>
    </row>
    <row r="941" ht="15.75" customHeight="1" s="134">
      <c r="A941" s="2" t="n"/>
      <c r="B941" s="2" t="n"/>
      <c r="C941" s="2" t="n"/>
      <c r="D941" s="2" t="n"/>
      <c r="E941" s="2" t="n"/>
      <c r="F941" s="2" t="n"/>
    </row>
    <row r="942" ht="15.75" customHeight="1" s="134">
      <c r="A942" s="2" t="n"/>
      <c r="B942" s="2" t="n"/>
      <c r="C942" s="2" t="n"/>
      <c r="D942" s="2" t="n"/>
      <c r="E942" s="2" t="n"/>
      <c r="F942" s="2" t="n"/>
    </row>
    <row r="943" ht="15.75" customHeight="1" s="134">
      <c r="A943" s="2" t="n"/>
      <c r="B943" s="2" t="n"/>
      <c r="C943" s="2" t="n"/>
      <c r="D943" s="2" t="n"/>
      <c r="E943" s="2" t="n"/>
      <c r="F943" s="2" t="n"/>
    </row>
    <row r="944" ht="15.75" customHeight="1" s="134">
      <c r="A944" s="2" t="n"/>
      <c r="B944" s="2" t="n"/>
      <c r="C944" s="2" t="n"/>
      <c r="D944" s="2" t="n"/>
      <c r="E944" s="2" t="n"/>
      <c r="F944" s="2" t="n"/>
    </row>
    <row r="945" ht="15.75" customHeight="1" s="134">
      <c r="A945" s="2" t="n"/>
      <c r="B945" s="2" t="n"/>
      <c r="C945" s="2" t="n"/>
      <c r="D945" s="2" t="n"/>
      <c r="E945" s="2" t="n"/>
      <c r="F945" s="2" t="n"/>
    </row>
    <row r="946" ht="15.75" customHeight="1" s="134">
      <c r="A946" s="2" t="n"/>
      <c r="B946" s="2" t="n"/>
      <c r="C946" s="2" t="n"/>
      <c r="D946" s="2" t="n"/>
      <c r="E946" s="2" t="n"/>
      <c r="F946" s="2" t="n"/>
    </row>
    <row r="947" ht="15.75" customHeight="1" s="134">
      <c r="A947" s="2" t="n"/>
      <c r="B947" s="2" t="n"/>
      <c r="C947" s="2" t="n"/>
      <c r="D947" s="2" t="n"/>
      <c r="E947" s="2" t="n"/>
      <c r="F947" s="2" t="n"/>
    </row>
    <row r="948" ht="15.75" customHeight="1" s="134">
      <c r="A948" s="2" t="n"/>
      <c r="B948" s="2" t="n"/>
      <c r="C948" s="2" t="n"/>
      <c r="D948" s="2" t="n"/>
      <c r="E948" s="2" t="n"/>
      <c r="F948" s="2" t="n"/>
    </row>
    <row r="949" ht="15.75" customHeight="1" s="134">
      <c r="A949" s="2" t="n"/>
      <c r="B949" s="2" t="n"/>
      <c r="C949" s="2" t="n"/>
      <c r="D949" s="2" t="n"/>
      <c r="E949" s="2" t="n"/>
      <c r="F949" s="2" t="n"/>
    </row>
    <row r="950" ht="15.75" customHeight="1" s="134">
      <c r="A950" s="2" t="n"/>
      <c r="B950" s="2" t="n"/>
      <c r="C950" s="2" t="n"/>
      <c r="D950" s="2" t="n"/>
      <c r="E950" s="2" t="n"/>
      <c r="F950" s="2" t="n"/>
    </row>
    <row r="951" ht="15.75" customHeight="1" s="134">
      <c r="A951" s="2" t="n"/>
      <c r="B951" s="2" t="n"/>
      <c r="C951" s="2" t="n"/>
      <c r="D951" s="2" t="n"/>
      <c r="E951" s="2" t="n"/>
      <c r="F951" s="2" t="n"/>
    </row>
    <row r="952" ht="15.75" customHeight="1" s="134">
      <c r="A952" s="2" t="n"/>
      <c r="B952" s="2" t="n"/>
      <c r="C952" s="2" t="n"/>
      <c r="D952" s="2" t="n"/>
      <c r="E952" s="2" t="n"/>
      <c r="F952" s="2" t="n"/>
    </row>
    <row r="953" ht="15.75" customHeight="1" s="134">
      <c r="A953" s="2" t="n"/>
      <c r="B953" s="2" t="n"/>
      <c r="C953" s="2" t="n"/>
      <c r="D953" s="2" t="n"/>
      <c r="E953" s="2" t="n"/>
      <c r="F953" s="2" t="n"/>
    </row>
    <row r="954" ht="15.75" customHeight="1" s="134">
      <c r="A954" s="2" t="n"/>
      <c r="B954" s="2" t="n"/>
      <c r="C954" s="2" t="n"/>
      <c r="D954" s="2" t="n"/>
      <c r="E954" s="2" t="n"/>
      <c r="F954" s="2" t="n"/>
    </row>
    <row r="955" ht="15.75" customHeight="1" s="134">
      <c r="A955" s="2" t="n"/>
      <c r="B955" s="2" t="n"/>
      <c r="C955" s="2" t="n"/>
      <c r="D955" s="2" t="n"/>
      <c r="E955" s="2" t="n"/>
      <c r="F955" s="2" t="n"/>
    </row>
    <row r="956" ht="15.75" customHeight="1" s="134">
      <c r="A956" s="2" t="n"/>
      <c r="B956" s="2" t="n"/>
      <c r="C956" s="2" t="n"/>
      <c r="D956" s="2" t="n"/>
      <c r="E956" s="2" t="n"/>
      <c r="F956" s="2" t="n"/>
    </row>
    <row r="957" ht="15.75" customHeight="1" s="134">
      <c r="A957" s="2" t="n"/>
      <c r="B957" s="2" t="n"/>
      <c r="C957" s="2" t="n"/>
      <c r="D957" s="2" t="n"/>
      <c r="E957" s="2" t="n"/>
      <c r="F957" s="2" t="n"/>
    </row>
    <row r="958" ht="15.75" customHeight="1" s="134">
      <c r="A958" s="2" t="n"/>
      <c r="B958" s="2" t="n"/>
      <c r="C958" s="2" t="n"/>
      <c r="D958" s="2" t="n"/>
      <c r="E958" s="2" t="n"/>
      <c r="F958" s="2" t="n"/>
    </row>
    <row r="959" ht="15.75" customHeight="1" s="134">
      <c r="A959" s="2" t="n"/>
      <c r="B959" s="2" t="n"/>
      <c r="C959" s="2" t="n"/>
      <c r="D959" s="2" t="n"/>
      <c r="E959" s="2" t="n"/>
      <c r="F959" s="2" t="n"/>
    </row>
    <row r="960" ht="15.75" customHeight="1" s="134">
      <c r="A960" s="2" t="n"/>
      <c r="B960" s="2" t="n"/>
      <c r="C960" s="2" t="n"/>
      <c r="D960" s="2" t="n"/>
      <c r="E960" s="2" t="n"/>
      <c r="F960" s="2" t="n"/>
    </row>
    <row r="961" ht="15.75" customHeight="1" s="134">
      <c r="A961" s="2" t="n"/>
      <c r="B961" s="2" t="n"/>
      <c r="C961" s="2" t="n"/>
      <c r="D961" s="2" t="n"/>
      <c r="E961" s="2" t="n"/>
      <c r="F961" s="2" t="n"/>
    </row>
    <row r="962" ht="15.75" customHeight="1" s="134">
      <c r="A962" s="2" t="n"/>
      <c r="B962" s="2" t="n"/>
      <c r="C962" s="2" t="n"/>
      <c r="D962" s="2" t="n"/>
      <c r="E962" s="2" t="n"/>
      <c r="F962" s="2" t="n"/>
    </row>
    <row r="963" ht="15.75" customHeight="1" s="134">
      <c r="A963" s="2" t="n"/>
      <c r="B963" s="2" t="n"/>
      <c r="C963" s="2" t="n"/>
      <c r="D963" s="2" t="n"/>
      <c r="E963" s="2" t="n"/>
      <c r="F963" s="2" t="n"/>
    </row>
    <row r="964" ht="15.75" customHeight="1" s="134">
      <c r="A964" s="2" t="n"/>
      <c r="B964" s="2" t="n"/>
      <c r="C964" s="2" t="n"/>
      <c r="D964" s="2" t="n"/>
      <c r="E964" s="2" t="n"/>
      <c r="F964" s="2" t="n"/>
    </row>
    <row r="965" ht="15.75" customHeight="1" s="134">
      <c r="A965" s="2" t="n"/>
      <c r="B965" s="2" t="n"/>
      <c r="C965" s="2" t="n"/>
      <c r="D965" s="2" t="n"/>
      <c r="E965" s="2" t="n"/>
      <c r="F965" s="2" t="n"/>
    </row>
    <row r="966" ht="15.75" customHeight="1" s="134">
      <c r="A966" s="2" t="n"/>
      <c r="B966" s="2" t="n"/>
      <c r="C966" s="2" t="n"/>
      <c r="D966" s="2" t="n"/>
      <c r="E966" s="2" t="n"/>
      <c r="F966" s="2" t="n"/>
    </row>
    <row r="967" ht="15.75" customHeight="1" s="134">
      <c r="A967" s="2" t="n"/>
      <c r="B967" s="2" t="n"/>
      <c r="C967" s="2" t="n"/>
      <c r="D967" s="2" t="n"/>
      <c r="E967" s="2" t="n"/>
      <c r="F967" s="2" t="n"/>
    </row>
    <row r="968" ht="15.75" customHeight="1" s="134">
      <c r="A968" s="2" t="n"/>
      <c r="B968" s="2" t="n"/>
      <c r="C968" s="2" t="n"/>
      <c r="D968" s="2" t="n"/>
      <c r="E968" s="2" t="n"/>
      <c r="F968" s="2" t="n"/>
    </row>
    <row r="969" ht="15.75" customHeight="1" s="134">
      <c r="A969" s="2" t="n"/>
      <c r="B969" s="2" t="n"/>
      <c r="C969" s="2" t="n"/>
      <c r="D969" s="2" t="n"/>
      <c r="E969" s="2" t="n"/>
      <c r="F969" s="2" t="n"/>
    </row>
    <row r="970" ht="15.75" customHeight="1" s="134">
      <c r="A970" s="2" t="n"/>
      <c r="B970" s="2" t="n"/>
      <c r="C970" s="2" t="n"/>
      <c r="D970" s="2" t="n"/>
      <c r="E970" s="2" t="n"/>
      <c r="F970" s="2" t="n"/>
    </row>
    <row r="971" ht="15.75" customHeight="1" s="134">
      <c r="A971" s="2" t="n"/>
      <c r="B971" s="2" t="n"/>
      <c r="C971" s="2" t="n"/>
      <c r="D971" s="2" t="n"/>
      <c r="E971" s="2" t="n"/>
      <c r="F971" s="2" t="n"/>
    </row>
    <row r="972" ht="15.75" customHeight="1" s="134">
      <c r="A972" s="2" t="n"/>
      <c r="B972" s="2" t="n"/>
      <c r="C972" s="2" t="n"/>
      <c r="D972" s="2" t="n"/>
      <c r="E972" s="2" t="n"/>
      <c r="F972" s="2" t="n"/>
    </row>
    <row r="973" ht="15.75" customHeight="1" s="134">
      <c r="A973" s="2" t="n"/>
      <c r="B973" s="2" t="n"/>
      <c r="C973" s="2" t="n"/>
      <c r="D973" s="2" t="n"/>
      <c r="E973" s="2" t="n"/>
      <c r="F973" s="2" t="n"/>
    </row>
    <row r="974" ht="15.75" customHeight="1" s="134">
      <c r="A974" s="2" t="n"/>
      <c r="B974" s="2" t="n"/>
      <c r="C974" s="2" t="n"/>
      <c r="D974" s="2" t="n"/>
      <c r="E974" s="2" t="n"/>
      <c r="F974" s="2" t="n"/>
    </row>
    <row r="975" ht="15.75" customHeight="1" s="134">
      <c r="A975" s="2" t="n"/>
      <c r="B975" s="2" t="n"/>
      <c r="C975" s="2" t="n"/>
      <c r="D975" s="2" t="n"/>
      <c r="E975" s="2" t="n"/>
      <c r="F975" s="2" t="n"/>
    </row>
    <row r="976" ht="15.75" customHeight="1" s="134">
      <c r="A976" s="2" t="n"/>
      <c r="B976" s="2" t="n"/>
      <c r="C976" s="2" t="n"/>
      <c r="D976" s="2" t="n"/>
      <c r="E976" s="2" t="n"/>
      <c r="F976" s="2" t="n"/>
    </row>
    <row r="977" ht="15.75" customHeight="1" s="134">
      <c r="A977" s="2" t="n"/>
      <c r="B977" s="2" t="n"/>
      <c r="C977" s="2" t="n"/>
      <c r="D977" s="2" t="n"/>
      <c r="E977" s="2" t="n"/>
      <c r="F977" s="2" t="n"/>
    </row>
    <row r="978" ht="15.75" customHeight="1" s="134">
      <c r="A978" s="2" t="n"/>
      <c r="B978" s="2" t="n"/>
      <c r="C978" s="2" t="n"/>
      <c r="D978" s="2" t="n"/>
      <c r="E978" s="2" t="n"/>
      <c r="F978" s="2" t="n"/>
    </row>
    <row r="979" ht="15.75" customHeight="1" s="134">
      <c r="A979" s="2" t="n"/>
      <c r="B979" s="2" t="n"/>
      <c r="C979" s="2" t="n"/>
      <c r="D979" s="2" t="n"/>
      <c r="E979" s="2" t="n"/>
      <c r="F979" s="2" t="n"/>
    </row>
    <row r="980" ht="15.75" customHeight="1" s="134">
      <c r="A980" s="2" t="n"/>
      <c r="B980" s="2" t="n"/>
      <c r="C980" s="2" t="n"/>
      <c r="D980" s="2" t="n"/>
      <c r="E980" s="2" t="n"/>
      <c r="F980" s="2" t="n"/>
    </row>
    <row r="981" ht="15.75" customHeight="1" s="134">
      <c r="A981" s="2" t="n"/>
      <c r="B981" s="2" t="n"/>
      <c r="C981" s="2" t="n"/>
      <c r="D981" s="2" t="n"/>
      <c r="E981" s="2" t="n"/>
      <c r="F981" s="2" t="n"/>
    </row>
    <row r="982" ht="15.75" customHeight="1" s="134">
      <c r="A982" s="2" t="n"/>
      <c r="B982" s="2" t="n"/>
      <c r="C982" s="2" t="n"/>
      <c r="D982" s="2" t="n"/>
      <c r="E982" s="2" t="n"/>
      <c r="F982" s="2" t="n"/>
    </row>
    <row r="983" ht="15.75" customHeight="1" s="134">
      <c r="A983" s="2" t="n"/>
      <c r="B983" s="2" t="n"/>
      <c r="C983" s="2" t="n"/>
      <c r="D983" s="2" t="n"/>
      <c r="E983" s="2" t="n"/>
      <c r="F983" s="2" t="n"/>
    </row>
    <row r="984" ht="15.75" customHeight="1" s="134">
      <c r="A984" s="2" t="n"/>
      <c r="B984" s="2" t="n"/>
      <c r="C984" s="2" t="n"/>
      <c r="D984" s="2" t="n"/>
      <c r="E984" s="2" t="n"/>
      <c r="F984" s="2" t="n"/>
    </row>
    <row r="985" ht="15.75" customHeight="1" s="134">
      <c r="A985" s="2" t="n"/>
      <c r="B985" s="2" t="n"/>
      <c r="C985" s="2" t="n"/>
      <c r="D985" s="2" t="n"/>
      <c r="E985" s="2" t="n"/>
      <c r="F985" s="2" t="n"/>
    </row>
    <row r="986" ht="15.75" customHeight="1" s="134">
      <c r="A986" s="2" t="n"/>
      <c r="B986" s="2" t="n"/>
      <c r="C986" s="2" t="n"/>
      <c r="D986" s="2" t="n"/>
      <c r="E986" s="2" t="n"/>
      <c r="F986" s="2" t="n"/>
    </row>
    <row r="987" ht="15.75" customHeight="1" s="134">
      <c r="A987" s="2" t="n"/>
      <c r="B987" s="2" t="n"/>
      <c r="C987" s="2" t="n"/>
      <c r="D987" s="2" t="n"/>
      <c r="E987" s="2" t="n"/>
      <c r="F987" s="2" t="n"/>
    </row>
    <row r="988" ht="15.75" customHeight="1" s="134">
      <c r="A988" s="2" t="n"/>
      <c r="B988" s="2" t="n"/>
      <c r="C988" s="2" t="n"/>
      <c r="D988" s="2" t="n"/>
      <c r="E988" s="2" t="n"/>
      <c r="F988" s="2" t="n"/>
    </row>
    <row r="989" ht="15.75" customHeight="1" s="134">
      <c r="A989" s="2" t="n"/>
      <c r="B989" s="2" t="n"/>
      <c r="C989" s="2" t="n"/>
      <c r="D989" s="2" t="n"/>
      <c r="E989" s="2" t="n"/>
      <c r="F989" s="2" t="n"/>
    </row>
    <row r="990" ht="15.75" customHeight="1" s="134">
      <c r="A990" s="2" t="n"/>
      <c r="B990" s="2" t="n"/>
      <c r="C990" s="2" t="n"/>
      <c r="D990" s="2" t="n"/>
      <c r="E990" s="2" t="n"/>
      <c r="F990" s="2" t="n"/>
    </row>
    <row r="991" ht="15.75" customHeight="1" s="134">
      <c r="A991" s="2" t="n"/>
      <c r="B991" s="2" t="n"/>
      <c r="C991" s="2" t="n"/>
      <c r="D991" s="2" t="n"/>
      <c r="E991" s="2" t="n"/>
      <c r="F991" s="2" t="n"/>
    </row>
    <row r="992" ht="15.75" customHeight="1" s="134">
      <c r="A992" s="2" t="n"/>
      <c r="B992" s="2" t="n"/>
      <c r="C992" s="2" t="n"/>
      <c r="D992" s="2" t="n"/>
      <c r="E992" s="2" t="n"/>
      <c r="F992" s="2" t="n"/>
    </row>
    <row r="993" ht="15.75" customHeight="1" s="134">
      <c r="A993" s="2" t="n"/>
      <c r="B993" s="2" t="n"/>
      <c r="C993" s="2" t="n"/>
      <c r="D993" s="2" t="n"/>
      <c r="E993" s="2" t="n"/>
      <c r="F993" s="2" t="n"/>
    </row>
    <row r="994" ht="15.75" customHeight="1" s="134">
      <c r="A994" s="2" t="n"/>
      <c r="B994" s="2" t="n"/>
      <c r="C994" s="2" t="n"/>
      <c r="D994" s="2" t="n"/>
      <c r="E994" s="2" t="n"/>
      <c r="F994" s="2" t="n"/>
    </row>
    <row r="995" ht="15.75" customHeight="1" s="134">
      <c r="A995" s="2" t="n"/>
      <c r="B995" s="2" t="n"/>
      <c r="C995" s="2" t="n"/>
      <c r="D995" s="2" t="n"/>
      <c r="E995" s="2" t="n"/>
      <c r="F995" s="2" t="n"/>
    </row>
    <row r="996" ht="15.75" customHeight="1" s="134">
      <c r="A996" s="2" t="n"/>
      <c r="B996" s="2" t="n"/>
      <c r="C996" s="2" t="n"/>
      <c r="D996" s="2" t="n"/>
      <c r="E996" s="2" t="n"/>
      <c r="F996" s="2" t="n"/>
    </row>
    <row r="997" ht="15.75" customHeight="1" s="134">
      <c r="A997" s="2" t="n"/>
      <c r="B997" s="2" t="n"/>
      <c r="C997" s="2" t="n"/>
      <c r="D997" s="2" t="n"/>
      <c r="E997" s="2" t="n"/>
      <c r="F997" s="2" t="n"/>
    </row>
    <row r="998" ht="15.75" customHeight="1" s="134">
      <c r="A998" s="2" t="n"/>
      <c r="B998" s="2" t="n"/>
      <c r="C998" s="2" t="n"/>
      <c r="D998" s="2" t="n"/>
      <c r="E998" s="2" t="n"/>
      <c r="F998" s="2" t="n"/>
    </row>
    <row r="999" ht="15.75" customHeight="1" s="134">
      <c r="A999" s="2" t="n"/>
      <c r="B999" s="2" t="n"/>
      <c r="C999" s="2" t="n"/>
      <c r="D999" s="2" t="n"/>
      <c r="E999" s="2" t="n"/>
      <c r="F999" s="2" t="n"/>
    </row>
    <row r="1000" ht="15.75" customHeight="1" s="134">
      <c r="A1000" s="2" t="n"/>
      <c r="B1000" s="2" t="n"/>
      <c r="C1000" s="2" t="n"/>
      <c r="D1000" s="2" t="n"/>
      <c r="E1000" s="2" t="n"/>
      <c r="F1000" s="2" t="n"/>
    </row>
  </sheetData>
  <mergeCells count="1">
    <mergeCell ref="A1:D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4.43" defaultRowHeight="15" customHeight="1" outlineLevelRow="1"/>
  <cols>
    <col width="50" customWidth="1" style="134" min="1" max="1"/>
    <col width="13" customWidth="1" style="134" min="2" max="9"/>
  </cols>
  <sheetData>
    <row r="1">
      <c r="A1" s="1" t="inlineStr">
        <is>
          <t>Выручка по мастерам факт 2026 — из YClients-пайплайна, сумма = общая выручка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4" t="inlineStr">
        <is>
          <t>Статья</t>
        </is>
      </c>
      <c r="B2" s="4" t="inlineStr">
        <is>
          <t>Январь</t>
        </is>
      </c>
      <c r="C2" s="4" t="inlineStr">
        <is>
          <t>Февраль</t>
        </is>
      </c>
      <c r="D2" s="4" t="inlineStr">
        <is>
          <t>Март</t>
        </is>
      </c>
      <c r="E2" s="4" t="inlineStr">
        <is>
          <t>Апрель</t>
        </is>
      </c>
      <c r="F2" s="4" t="inlineStr">
        <is>
          <t>Май</t>
        </is>
      </c>
      <c r="G2" s="4" t="inlineStr">
        <is>
          <t>Июнь</t>
        </is>
      </c>
      <c r="H2" s="4" t="inlineStr">
        <is>
          <t>Июль</t>
        </is>
      </c>
      <c r="I2" s="4" t="inlineStr">
        <is>
          <t>Август*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6" t="inlineStr">
        <is>
          <t>Эльвира Аминева</t>
        </is>
      </c>
      <c r="B3" s="7" t="n">
        <v>834346</v>
      </c>
      <c r="C3" s="7" t="n">
        <v>990234</v>
      </c>
      <c r="D3" s="7" t="n">
        <v>945727</v>
      </c>
      <c r="E3" s="7" t="n">
        <v>991701</v>
      </c>
      <c r="F3" s="7" t="n">
        <v>1654863</v>
      </c>
      <c r="G3" s="7" t="n">
        <v>1374673</v>
      </c>
      <c r="H3" s="7" t="n">
        <v>1306050</v>
      </c>
      <c r="I3" s="7" t="n">
        <v>712840</v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6" t="inlineStr">
        <is>
          <t>Остальные мастера (Татьяна, Александра, Влада, Анжела и т.д.)</t>
        </is>
      </c>
      <c r="B4" s="7" t="n">
        <v>601390</v>
      </c>
      <c r="C4" s="7" t="n">
        <v>591758</v>
      </c>
      <c r="D4" s="7" t="n">
        <v>1002318</v>
      </c>
      <c r="E4" s="7" t="n">
        <v>917482</v>
      </c>
      <c r="F4" s="7" t="n">
        <v>1174270</v>
      </c>
      <c r="G4" s="7" t="n">
        <v>966824</v>
      </c>
      <c r="H4" s="7" t="n">
        <v>953455</v>
      </c>
      <c r="I4" s="7" t="n">
        <v>490195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1" t="inlineStr">
        <is>
          <t>Итого (= общая выручка)</t>
        </is>
      </c>
      <c r="B5" s="12">
        <f>B3+B4</f>
        <v/>
      </c>
      <c r="C5" s="12">
        <f>C3+C4</f>
        <v/>
      </c>
      <c r="D5" s="12">
        <f>D3+D4</f>
        <v/>
      </c>
      <c r="E5" s="12">
        <f>E3+E4</f>
        <v/>
      </c>
      <c r="F5" s="12">
        <f>F3+F4</f>
        <v/>
      </c>
      <c r="G5" s="12">
        <f>G3+G4</f>
        <v/>
      </c>
      <c r="H5" s="12">
        <f>H3+H4</f>
        <v/>
      </c>
      <c r="I5" s="12">
        <f>I3+I4</f>
        <v/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1" t="inlineStr">
        <is>
          <t>Доля Эльвиры, %</t>
        </is>
      </c>
      <c r="B6" s="15">
        <f>B3/B5</f>
        <v/>
      </c>
      <c r="C6" s="15">
        <f>C3/C5</f>
        <v/>
      </c>
      <c r="D6" s="15">
        <f>D3/D5</f>
        <v/>
      </c>
      <c r="E6" s="15">
        <f>E3/E5</f>
        <v/>
      </c>
      <c r="F6" s="15">
        <f>F3/F5</f>
        <v/>
      </c>
      <c r="G6" s="15">
        <f>G3/G5</f>
        <v/>
      </c>
      <c r="H6" s="15">
        <f>H3/H5</f>
        <v/>
      </c>
      <c r="I6" s="15">
        <f>I3/I5</f>
        <v/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9" t="inlineStr">
        <is>
          <t>* Август — не закрытый месяц (данные по 24.08).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34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34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34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3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34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34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34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34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34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34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34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34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34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34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34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34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34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34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34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34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34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34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3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34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34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34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34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34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34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34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34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34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3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34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34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34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34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34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34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34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34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34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3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34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34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34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34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34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34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34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34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34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3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34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34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34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34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34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34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34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34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34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3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34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34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34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34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34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34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34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34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34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3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34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34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34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34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34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34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34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34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34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3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34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34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34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34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34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34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34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34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34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3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34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34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34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34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34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34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34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34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34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3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34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34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34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34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34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34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34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34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34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34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34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34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34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34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34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34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34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34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3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34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34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34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34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34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34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34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34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34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3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34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34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34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34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34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34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34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34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34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3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34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34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34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34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34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34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34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34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34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3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34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34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34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34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34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34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34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34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34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3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34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34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34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34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34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34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34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34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34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3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34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34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34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34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34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34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34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34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34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3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34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34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34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34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34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34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34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34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34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3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34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34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34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34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34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34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34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 ht="15.75" customHeight="1" s="134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 ht="15.75" customHeight="1" s="134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 ht="15.75" customHeight="1" s="13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 ht="15.75" customHeight="1" s="134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 ht="15.75" customHeight="1" s="134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 ht="15.75" customHeight="1" s="134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 ht="15.75" customHeight="1" s="134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 ht="15.75" customHeight="1" s="134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 ht="15.75" customHeight="1" s="134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 ht="15.75" customHeight="1" s="134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 ht="15.75" customHeight="1" s="134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 ht="15.75" customHeight="1" s="134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 ht="15.75" customHeight="1" s="1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 ht="15.75" customHeight="1" s="134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 ht="15.75" customHeight="1" s="134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 ht="15.75" customHeight="1" s="134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 ht="15.75" customHeight="1" s="134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 ht="15.75" customHeight="1" s="134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 ht="15.75" customHeight="1" s="134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 ht="15.75" customHeight="1" s="134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 ht="15.75" customHeight="1" s="134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 ht="15.75" customHeight="1" s="134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 ht="15.75" customHeight="1" s="13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 ht="15.75" customHeight="1" s="134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 ht="15.75" customHeight="1" s="134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 ht="15.75" customHeight="1" s="134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 ht="15.75" customHeight="1" s="134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 ht="15.75" customHeight="1" s="134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 ht="15.75" customHeight="1" s="134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 ht="15.75" customHeight="1" s="134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 ht="15.75" customHeight="1" s="134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 ht="15.75" customHeight="1" s="134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 ht="15.75" customHeight="1" s="13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 ht="15.75" customHeight="1" s="134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 ht="15.75" customHeight="1" s="134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 ht="15.75" customHeight="1" s="134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 ht="15.75" customHeight="1" s="134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 ht="15.75" customHeight="1" s="134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 ht="15.75" customHeight="1" s="134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 ht="15.75" customHeight="1" s="134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 ht="15.75" customHeight="1" s="134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 ht="15.75" customHeight="1" s="134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 ht="15.75" customHeight="1" s="13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 ht="15.75" customHeight="1" s="134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 ht="15.75" customHeight="1" s="134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 ht="15.75" customHeight="1" s="134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 ht="15.75" customHeight="1" s="134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 ht="15.75" customHeight="1" s="134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 ht="15.75" customHeight="1" s="134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 ht="15.75" customHeight="1" s="134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 ht="15.75" customHeight="1" s="134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 ht="15.75" customHeight="1" s="134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 ht="15.75" customHeight="1" s="13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 ht="15.75" customHeight="1" s="134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 ht="15.75" customHeight="1" s="134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 ht="15.75" customHeight="1" s="134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 ht="15.75" customHeight="1" s="134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 ht="15.75" customHeight="1" s="134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 ht="15.75" customHeight="1" s="134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 ht="15.75" customHeight="1" s="134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 ht="15.75" customHeight="1" s="134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 ht="15.75" customHeight="1" s="134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 ht="15.75" customHeight="1" s="13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 ht="15.75" customHeight="1" s="134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 ht="15.75" customHeight="1" s="134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 ht="15.75" customHeight="1" s="134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 ht="15.75" customHeight="1" s="134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 ht="15.75" customHeight="1" s="134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 ht="15.75" customHeight="1" s="134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 ht="15.75" customHeight="1" s="134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 ht="15.75" customHeight="1" s="134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 ht="15.75" customHeight="1" s="134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 ht="15.75" customHeight="1" s="13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 ht="15.75" customHeight="1" s="134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 ht="15.75" customHeight="1" s="134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 ht="15.75" customHeight="1" s="134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 ht="15.75" customHeight="1" s="134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 ht="15.75" customHeight="1" s="134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 ht="15.75" customHeight="1" s="134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 ht="15.75" customHeight="1" s="134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 ht="15.75" customHeight="1" s="134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 ht="15.75" customHeight="1" s="134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 ht="15.75" customHeight="1" s="13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 ht="15.75" customHeight="1" s="134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 ht="15.75" customHeight="1" s="134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 ht="15.75" customHeight="1" s="134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 ht="15.75" customHeight="1" s="134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 ht="15.75" customHeight="1" s="134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 ht="15.75" customHeight="1" s="134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 ht="15.75" customHeight="1" s="134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 ht="15.75" customHeight="1" s="134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 ht="15.75" customHeight="1" s="134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 ht="15.75" customHeight="1" s="13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 ht="15.75" customHeight="1" s="134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 ht="15.75" customHeight="1" s="134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 ht="15.75" customHeight="1" s="134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 ht="15.75" customHeight="1" s="134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 ht="15.75" customHeight="1" s="134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 ht="15.75" customHeight="1" s="134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 ht="15.75" customHeight="1" s="134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 ht="15.75" customHeight="1" s="134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 ht="15.75" customHeight="1" s="134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 ht="15.75" customHeight="1" s="13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 ht="15.75" customHeight="1" s="134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 ht="15.75" customHeight="1" s="134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 ht="15.75" customHeight="1" s="134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 ht="15.75" customHeight="1" s="134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 ht="15.75" customHeight="1" s="134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 ht="15.75" customHeight="1" s="134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 ht="15.75" customHeight="1" s="134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 ht="15.75" customHeight="1" s="134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 ht="15.75" customHeight="1" s="134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 ht="15.75" customHeight="1" s="1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 ht="15.75" customHeight="1" s="134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 ht="15.75" customHeight="1" s="134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 ht="15.75" customHeight="1" s="134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 ht="15.75" customHeight="1" s="134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 ht="15.75" customHeight="1" s="134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 ht="15.75" customHeight="1" s="134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 ht="15.75" customHeight="1" s="134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 ht="15.75" customHeight="1" s="134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 ht="15.75" customHeight="1" s="134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 ht="15.75" customHeight="1" s="13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 ht="15.75" customHeight="1" s="134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 ht="15.75" customHeight="1" s="134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 ht="15.75" customHeight="1" s="134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 ht="15.75" customHeight="1" s="134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 ht="15.75" customHeight="1" s="134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 ht="15.75" customHeight="1" s="134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 ht="15.75" customHeight="1" s="134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 ht="15.75" customHeight="1" s="134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 ht="15.75" customHeight="1" s="134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 ht="15.75" customHeight="1" s="13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 ht="15.75" customHeight="1" s="134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 ht="15.75" customHeight="1" s="134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 ht="15.75" customHeight="1" s="134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 ht="15.75" customHeight="1" s="134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 ht="15.75" customHeight="1" s="134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 ht="15.75" customHeight="1" s="134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 ht="15.75" customHeight="1" s="134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 ht="15.75" customHeight="1" s="134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 ht="15.75" customHeight="1" s="134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 ht="15.75" customHeight="1" s="13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 ht="15.75" customHeight="1" s="134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 ht="15.75" customHeight="1" s="134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 ht="15.75" customHeight="1" s="134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 ht="15.75" customHeight="1" s="134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 ht="15.75" customHeight="1" s="134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 ht="15.75" customHeight="1" s="134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 ht="15.75" customHeight="1" s="134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 ht="15.75" customHeight="1" s="134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 ht="15.75" customHeight="1" s="134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 ht="15.75" customHeight="1" s="13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 ht="15.75" customHeight="1" s="134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 ht="15.75" customHeight="1" s="134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 ht="15.75" customHeight="1" s="134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 ht="15.75" customHeight="1" s="134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 ht="15.75" customHeight="1" s="134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 ht="15.75" customHeight="1" s="134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 ht="15.75" customHeight="1" s="134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 ht="15.75" customHeight="1" s="134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 ht="15.75" customHeight="1" s="134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 ht="15.75" customHeight="1" s="13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 ht="15.75" customHeight="1" s="134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 ht="15.75" customHeight="1" s="134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 ht="15.75" customHeight="1" s="134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 ht="15.75" customHeight="1" s="134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 ht="15.75" customHeight="1" s="134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 ht="15.75" customHeight="1" s="134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 ht="15.75" customHeight="1" s="134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 ht="15.75" customHeight="1" s="134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 ht="15.75" customHeight="1" s="134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 ht="15.75" customHeight="1" s="13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 ht="15.75" customHeight="1" s="134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 ht="15.75" customHeight="1" s="134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 ht="15.75" customHeight="1" s="134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 ht="15.75" customHeight="1" s="134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 ht="15.75" customHeight="1" s="134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 ht="15.75" customHeight="1" s="134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 ht="15.75" customHeight="1" s="134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 ht="15.75" customHeight="1" s="134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 ht="15.75" customHeight="1" s="134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 ht="15.75" customHeight="1" s="13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 ht="15.75" customHeight="1" s="134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 ht="15.75" customHeight="1" s="134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 ht="15.75" customHeight="1" s="134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 ht="15.75" customHeight="1" s="134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 ht="15.75" customHeight="1" s="134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 ht="15.75" customHeight="1" s="134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 ht="15.75" customHeight="1" s="134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 ht="15.75" customHeight="1" s="134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 ht="15.75" customHeight="1" s="134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 ht="15.75" customHeight="1" s="13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 ht="15.75" customHeight="1" s="134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 ht="15.75" customHeight="1" s="134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 ht="15.75" customHeight="1" s="134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 ht="15.75" customHeight="1" s="134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 ht="15.75" customHeight="1" s="134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 ht="15.75" customHeight="1" s="134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 ht="15.75" customHeight="1" s="134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 ht="15.75" customHeight="1" s="134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 ht="15.75" customHeight="1" s="134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 ht="15.75" customHeight="1" s="13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 ht="15.75" customHeight="1" s="134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 ht="15.75" customHeight="1" s="134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 ht="15.75" customHeight="1" s="134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 ht="15.75" customHeight="1" s="134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 ht="15.75" customHeight="1" s="134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 ht="15.75" customHeight="1" s="134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 ht="15.75" customHeight="1" s="134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 ht="15.75" customHeight="1" s="134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 ht="15.75" customHeight="1" s="134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 ht="15.75" customHeight="1" s="1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 ht="15.75" customHeight="1" s="134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 ht="15.75" customHeight="1" s="134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 ht="15.75" customHeight="1" s="134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 ht="15.75" customHeight="1" s="134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 ht="15.75" customHeight="1" s="134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 ht="15.75" customHeight="1" s="134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 ht="15.75" customHeight="1" s="134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 ht="15.75" customHeight="1" s="134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 ht="15.75" customHeight="1" s="134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 ht="15.75" customHeight="1" s="13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 ht="15.75" customHeight="1" s="134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 ht="15.75" customHeight="1" s="134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 ht="15.75" customHeight="1" s="134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 ht="15.75" customHeight="1" s="134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 ht="15.75" customHeight="1" s="134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 ht="15.75" customHeight="1" s="134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 ht="15.75" customHeight="1" s="134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 ht="15.75" customHeight="1" s="134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 ht="15.75" customHeight="1" s="134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 ht="15.75" customHeight="1" s="13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 ht="15.75" customHeight="1" s="134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 ht="15.75" customHeight="1" s="134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 ht="15.75" customHeight="1" s="134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 ht="15.75" customHeight="1" s="134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 ht="15.75" customHeight="1" s="134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 ht="15.75" customHeight="1" s="134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 ht="15.75" customHeight="1" s="134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 ht="15.75" customHeight="1" s="134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 ht="15.75" customHeight="1" s="134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 ht="15.75" customHeight="1" s="13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 ht="15.75" customHeight="1" s="134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 ht="15.75" customHeight="1" s="134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 ht="15.75" customHeight="1" s="134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 ht="15.75" customHeight="1" s="134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 ht="15.75" customHeight="1" s="134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 ht="15.75" customHeight="1" s="134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 ht="15.75" customHeight="1" s="134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 ht="15.75" customHeight="1" s="134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 ht="15.75" customHeight="1" s="134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 ht="15.75" customHeight="1" s="13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 ht="15.75" customHeight="1" s="134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 ht="15.75" customHeight="1" s="134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 ht="15.75" customHeight="1" s="134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 ht="15.75" customHeight="1" s="134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 ht="15.75" customHeight="1" s="134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 ht="15.75" customHeight="1" s="134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 ht="15.75" customHeight="1" s="134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 ht="15.75" customHeight="1" s="134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 ht="15.75" customHeight="1" s="134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 ht="15.75" customHeight="1" s="13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 ht="15.75" customHeight="1" s="134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 ht="15.75" customHeight="1" s="134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 ht="15.75" customHeight="1" s="134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 ht="15.75" customHeight="1" s="134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 ht="15.75" customHeight="1" s="134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 ht="15.75" customHeight="1" s="134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 ht="15.75" customHeight="1" s="134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 ht="15.75" customHeight="1" s="134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 ht="15.75" customHeight="1" s="134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 ht="15.75" customHeight="1" s="13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 ht="15.75" customHeight="1" s="134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 ht="15.75" customHeight="1" s="134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 ht="15.75" customHeight="1" s="134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 ht="15.75" customHeight="1" s="134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 ht="15.75" customHeight="1" s="134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 ht="15.75" customHeight="1" s="134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 ht="15.75" customHeight="1" s="134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 ht="15.75" customHeight="1" s="134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 ht="15.75" customHeight="1" s="134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 ht="15.75" customHeight="1" s="13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 ht="15.75" customHeight="1" s="134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 ht="15.75" customHeight="1" s="134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 ht="15.75" customHeight="1" s="134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 ht="15.75" customHeight="1" s="134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 ht="15.75" customHeight="1" s="134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 ht="15.75" customHeight="1" s="134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 ht="15.75" customHeight="1" s="134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 ht="15.75" customHeight="1" s="134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 ht="15.75" customHeight="1" s="134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 ht="15.75" customHeight="1" s="13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 ht="15.75" customHeight="1" s="134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 ht="15.75" customHeight="1" s="134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 ht="15.75" customHeight="1" s="134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 ht="15.75" customHeight="1" s="134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 ht="15.75" customHeight="1" s="134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 ht="15.75" customHeight="1" s="134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 ht="15.75" customHeight="1" s="134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 ht="15.75" customHeight="1" s="134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 ht="15.75" customHeight="1" s="134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 ht="15.75" customHeight="1" s="13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 ht="15.75" customHeight="1" s="134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 ht="15.75" customHeight="1" s="134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 ht="15.75" customHeight="1" s="134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 ht="15.75" customHeight="1" s="134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 ht="15.75" customHeight="1" s="134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 ht="15.75" customHeight="1" s="134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 ht="15.75" customHeight="1" s="134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 ht="15.75" customHeight="1" s="134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 ht="15.75" customHeight="1" s="134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 ht="15.75" customHeight="1" s="1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 ht="15.75" customHeight="1" s="134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 ht="15.75" customHeight="1" s="134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 ht="15.75" customHeight="1" s="134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 ht="15.75" customHeight="1" s="134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 ht="15.75" customHeight="1" s="134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 ht="15.75" customHeight="1" s="134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 ht="15.75" customHeight="1" s="134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 ht="15.75" customHeight="1" s="134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 ht="15.75" customHeight="1" s="134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 ht="15.75" customHeight="1" s="13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 ht="15.75" customHeight="1" s="134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 ht="15.75" customHeight="1" s="134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 ht="15.75" customHeight="1" s="134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 ht="15.75" customHeight="1" s="134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 ht="15.75" customHeight="1" s="134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 ht="15.75" customHeight="1" s="134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 ht="15.75" customHeight="1" s="134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 ht="15.75" customHeight="1" s="134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 ht="15.75" customHeight="1" s="134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 ht="15.75" customHeight="1" s="13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 ht="15.75" customHeight="1" s="134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 ht="15.75" customHeight="1" s="134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 ht="15.75" customHeight="1" s="134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 ht="15.75" customHeight="1" s="134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 ht="15.75" customHeight="1" s="134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 ht="15.75" customHeight="1" s="134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 ht="15.75" customHeight="1" s="134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 ht="15.75" customHeight="1" s="134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 ht="15.75" customHeight="1" s="134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 ht="15.75" customHeight="1" s="13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 ht="15.75" customHeight="1" s="134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 ht="15.75" customHeight="1" s="134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 ht="15.75" customHeight="1" s="134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 ht="15.75" customHeight="1" s="134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 ht="15.75" customHeight="1" s="134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 ht="15.75" customHeight="1" s="134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 ht="15.75" customHeight="1" s="134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 ht="15.75" customHeight="1" s="134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 ht="15.75" customHeight="1" s="134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 ht="15.75" customHeight="1" s="13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 ht="15.75" customHeight="1" s="134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 ht="15.75" customHeight="1" s="134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 ht="15.75" customHeight="1" s="134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 ht="15.75" customHeight="1" s="134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 ht="15.75" customHeight="1" s="134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 ht="15.75" customHeight="1" s="134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 ht="15.75" customHeight="1" s="134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 ht="15.75" customHeight="1" s="134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 ht="15.75" customHeight="1" s="134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 ht="15.75" customHeight="1" s="13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 ht="15.75" customHeight="1" s="134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 ht="15.75" customHeight="1" s="134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 ht="15.75" customHeight="1" s="134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 ht="15.75" customHeight="1" s="134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 ht="15.75" customHeight="1" s="134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 ht="15.75" customHeight="1" s="134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 ht="15.75" customHeight="1" s="134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 ht="15.75" customHeight="1" s="134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 ht="15.75" customHeight="1" s="134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 ht="15.75" customHeight="1" s="13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 ht="15.75" customHeight="1" s="134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 ht="15.75" customHeight="1" s="134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 ht="15.75" customHeight="1" s="134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 ht="15.75" customHeight="1" s="134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 ht="15.75" customHeight="1" s="134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 ht="15.75" customHeight="1" s="134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 ht="15.75" customHeight="1" s="134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 ht="15.75" customHeight="1" s="134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 ht="15.75" customHeight="1" s="134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 ht="15.75" customHeight="1" s="13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 ht="15.75" customHeight="1" s="134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 ht="15.75" customHeight="1" s="134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 ht="15.75" customHeight="1" s="134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 ht="15.75" customHeight="1" s="134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 ht="15.75" customHeight="1" s="134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 ht="15.75" customHeight="1" s="134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 ht="15.75" customHeight="1" s="134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 ht="15.75" customHeight="1" s="134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 ht="15.75" customHeight="1" s="134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 ht="15.75" customHeight="1" s="13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 ht="15.75" customHeight="1" s="134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 ht="15.75" customHeight="1" s="134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 ht="15.75" customHeight="1" s="134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 ht="15.75" customHeight="1" s="134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 ht="15.75" customHeight="1" s="134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 ht="15.75" customHeight="1" s="134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 ht="15.75" customHeight="1" s="134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 ht="15.75" customHeight="1" s="134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 ht="15.75" customHeight="1" s="134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 ht="15.75" customHeight="1" s="13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 ht="15.75" customHeight="1" s="134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 ht="15.75" customHeight="1" s="134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 ht="15.75" customHeight="1" s="134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 ht="15.75" customHeight="1" s="134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 ht="15.75" customHeight="1" s="134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 ht="15.75" customHeight="1" s="134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 ht="15.75" customHeight="1" s="134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 ht="15.75" customHeight="1" s="134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 ht="15.75" customHeight="1" s="134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 ht="15.75" customHeight="1" s="1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 ht="15.75" customHeight="1" s="134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 ht="15.75" customHeight="1" s="134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 ht="15.75" customHeight="1" s="134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 ht="15.75" customHeight="1" s="134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 ht="15.75" customHeight="1" s="134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 ht="15.75" customHeight="1" s="134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 ht="15.75" customHeight="1" s="134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 ht="15.75" customHeight="1" s="134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 ht="15.75" customHeight="1" s="134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 ht="15.75" customHeight="1" s="13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 ht="15.75" customHeight="1" s="134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 ht="15.75" customHeight="1" s="134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 ht="15.75" customHeight="1" s="134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 ht="15.75" customHeight="1" s="134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 ht="15.75" customHeight="1" s="134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 ht="15.75" customHeight="1" s="134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 ht="15.75" customHeight="1" s="134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 ht="15.75" customHeight="1" s="134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 ht="15.75" customHeight="1" s="134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 ht="15.75" customHeight="1" s="13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 ht="15.75" customHeight="1" s="134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 ht="15.75" customHeight="1" s="134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 ht="15.75" customHeight="1" s="134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 ht="15.75" customHeight="1" s="134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 ht="15.75" customHeight="1" s="134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 ht="15.75" customHeight="1" s="134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 ht="15.75" customHeight="1" s="134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 ht="15.75" customHeight="1" s="134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 ht="15.75" customHeight="1" s="134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 ht="15.75" customHeight="1" s="13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 ht="15.75" customHeight="1" s="134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 ht="15.75" customHeight="1" s="134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 ht="15.75" customHeight="1" s="134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 ht="15.75" customHeight="1" s="134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 ht="15.75" customHeight="1" s="134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 ht="15.75" customHeight="1" s="134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 ht="15.75" customHeight="1" s="134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 ht="15.75" customHeight="1" s="134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 ht="15.75" customHeight="1" s="134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 ht="15.75" customHeight="1" s="13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 ht="15.75" customHeight="1" s="134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 ht="15.75" customHeight="1" s="134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 ht="15.75" customHeight="1" s="134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 ht="15.75" customHeight="1" s="134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 ht="15.75" customHeight="1" s="134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 ht="15.75" customHeight="1" s="134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 ht="15.75" customHeight="1" s="134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 ht="15.75" customHeight="1" s="134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 ht="15.75" customHeight="1" s="134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 ht="15.75" customHeight="1" s="13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 ht="15.75" customHeight="1" s="134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 ht="15.75" customHeight="1" s="134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 ht="15.75" customHeight="1" s="134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 ht="15.75" customHeight="1" s="134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 ht="15.75" customHeight="1" s="134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 ht="15.75" customHeight="1" s="134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 ht="15.75" customHeight="1" s="134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 ht="15.75" customHeight="1" s="134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 ht="15.75" customHeight="1" s="134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 ht="15.75" customHeight="1" s="13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 ht="15.75" customHeight="1" s="134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 ht="15.75" customHeight="1" s="134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 ht="15.75" customHeight="1" s="134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 ht="15.75" customHeight="1" s="134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 ht="15.75" customHeight="1" s="134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 ht="15.75" customHeight="1" s="134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 ht="15.75" customHeight="1" s="134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 ht="15.75" customHeight="1" s="134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 ht="15.75" customHeight="1" s="134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 ht="15.75" customHeight="1" s="13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 ht="15.75" customHeight="1" s="134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 ht="15.75" customHeight="1" s="134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 ht="15.75" customHeight="1" s="134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 ht="15.75" customHeight="1" s="134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 ht="15.75" customHeight="1" s="134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 ht="15.75" customHeight="1" s="134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 ht="15.75" customHeight="1" s="134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 ht="15.75" customHeight="1" s="134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 ht="15.75" customHeight="1" s="134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 ht="15.75" customHeight="1" s="13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 ht="15.75" customHeight="1" s="134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 ht="15.75" customHeight="1" s="134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 ht="15.75" customHeight="1" s="134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 ht="15.75" customHeight="1" s="134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 ht="15.75" customHeight="1" s="134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 ht="15.75" customHeight="1" s="134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 ht="15.75" customHeight="1" s="134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 ht="15.75" customHeight="1" s="134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 ht="15.75" customHeight="1" s="134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 ht="15.75" customHeight="1" s="13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 ht="15.75" customHeight="1" s="134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 ht="15.75" customHeight="1" s="134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 ht="15.75" customHeight="1" s="134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 ht="15.75" customHeight="1" s="134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 ht="15.75" customHeight="1" s="134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 ht="15.75" customHeight="1" s="134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 ht="15.75" customHeight="1" s="134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 ht="15.75" customHeight="1" s="134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 ht="15.75" customHeight="1" s="134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 ht="15.75" customHeight="1" s="1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 ht="15.75" customHeight="1" s="134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 ht="15.75" customHeight="1" s="134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 ht="15.75" customHeight="1" s="134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 ht="15.75" customHeight="1" s="134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 ht="15.75" customHeight="1" s="134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 ht="15.75" customHeight="1" s="134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 ht="15.75" customHeight="1" s="134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 ht="15.75" customHeight="1" s="134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 ht="15.75" customHeight="1" s="134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 ht="15.75" customHeight="1" s="13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 ht="15.75" customHeight="1" s="134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 ht="15.75" customHeight="1" s="134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 ht="15.75" customHeight="1" s="134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 ht="15.75" customHeight="1" s="134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 ht="15.75" customHeight="1" s="134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 ht="15.75" customHeight="1" s="134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 ht="15.75" customHeight="1" s="134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 ht="15.75" customHeight="1" s="134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 ht="15.75" customHeight="1" s="134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 ht="15.75" customHeight="1" s="13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 ht="15.75" customHeight="1" s="134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 ht="15.75" customHeight="1" s="134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 ht="15.75" customHeight="1" s="134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 ht="15.75" customHeight="1" s="134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 ht="15.75" customHeight="1" s="134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 ht="15.75" customHeight="1" s="134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 ht="15.75" customHeight="1" s="134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 ht="15.75" customHeight="1" s="134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 ht="15.75" customHeight="1" s="134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 ht="15.75" customHeight="1" s="13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 ht="15.75" customHeight="1" s="134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 ht="15.75" customHeight="1" s="134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 ht="15.75" customHeight="1" s="134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 ht="15.75" customHeight="1" s="134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 ht="15.75" customHeight="1" s="134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 ht="15.75" customHeight="1" s="134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 ht="15.75" customHeight="1" s="134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 ht="15.75" customHeight="1" s="134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 ht="15.75" customHeight="1" s="134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 ht="15.75" customHeight="1" s="13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 ht="15.75" customHeight="1" s="134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 ht="15.75" customHeight="1" s="134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 ht="15.75" customHeight="1" s="134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 ht="15.75" customHeight="1" s="134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 ht="15.75" customHeight="1" s="134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 ht="15.75" customHeight="1" s="134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 ht="15.75" customHeight="1" s="134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 ht="15.75" customHeight="1" s="134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 ht="15.75" customHeight="1" s="134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 ht="15.75" customHeight="1" s="13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 ht="15.75" customHeight="1" s="134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 ht="15.75" customHeight="1" s="134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 ht="15.75" customHeight="1" s="134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 ht="15.75" customHeight="1" s="134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 ht="15.75" customHeight="1" s="134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 ht="15.75" customHeight="1" s="134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 ht="15.75" customHeight="1" s="134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 ht="15.75" customHeight="1" s="134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 ht="15.75" customHeight="1" s="134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 ht="15.75" customHeight="1" s="13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 ht="15.75" customHeight="1" s="134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 ht="15.75" customHeight="1" s="134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 ht="15.75" customHeight="1" s="134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 ht="15.75" customHeight="1" s="134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 ht="15.75" customHeight="1" s="134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 ht="15.75" customHeight="1" s="134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 ht="15.75" customHeight="1" s="134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 ht="15.75" customHeight="1" s="134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 ht="15.75" customHeight="1" s="134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 ht="15.75" customHeight="1" s="13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 ht="15.75" customHeight="1" s="134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 ht="15.75" customHeight="1" s="134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 ht="15.75" customHeight="1" s="134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 ht="15.75" customHeight="1" s="134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 ht="15.75" customHeight="1" s="134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 ht="15.75" customHeight="1" s="134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 ht="15.75" customHeight="1" s="134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 ht="15.75" customHeight="1" s="134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 ht="15.75" customHeight="1" s="134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 ht="15.75" customHeight="1" s="13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 ht="15.75" customHeight="1" s="134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 ht="15.75" customHeight="1" s="134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 ht="15.75" customHeight="1" s="134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 ht="15.75" customHeight="1" s="134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 ht="15.75" customHeight="1" s="134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 ht="15.75" customHeight="1" s="134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 ht="15.75" customHeight="1" s="134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 ht="15.75" customHeight="1" s="134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 ht="15.75" customHeight="1" s="134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 ht="15.75" customHeight="1" s="13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 ht="15.75" customHeight="1" s="134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 ht="15.75" customHeight="1" s="134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 ht="15.75" customHeight="1" s="134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 ht="15.75" customHeight="1" s="134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 ht="15.75" customHeight="1" s="134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 ht="15.75" customHeight="1" s="134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 ht="15.75" customHeight="1" s="134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 ht="15.75" customHeight="1" s="134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 ht="15.75" customHeight="1" s="134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 ht="15.75" customHeight="1" s="1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 ht="15.75" customHeight="1" s="134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 ht="15.75" customHeight="1" s="134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 ht="15.75" customHeight="1" s="134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 ht="15.75" customHeight="1" s="134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 ht="15.75" customHeight="1" s="134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 ht="15.75" customHeight="1" s="134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 ht="15.75" customHeight="1" s="134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 ht="15.75" customHeight="1" s="134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 ht="15.75" customHeight="1" s="134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 ht="15.75" customHeight="1" s="13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 ht="15.75" customHeight="1" s="134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 ht="15.75" customHeight="1" s="134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 ht="15.75" customHeight="1" s="134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 ht="15.75" customHeight="1" s="134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 ht="15.75" customHeight="1" s="134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 ht="15.75" customHeight="1" s="134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 ht="15.75" customHeight="1" s="134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 ht="15.75" customHeight="1" s="134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 ht="15.75" customHeight="1" s="134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 ht="15.75" customHeight="1" s="13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 ht="15.75" customHeight="1" s="134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 ht="15.75" customHeight="1" s="134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 ht="15.75" customHeight="1" s="134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 ht="15.75" customHeight="1" s="134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 ht="15.75" customHeight="1" s="134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 ht="15.75" customHeight="1" s="134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 ht="15.75" customHeight="1" s="134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 ht="15.75" customHeight="1" s="134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 ht="15.75" customHeight="1" s="134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 ht="15.75" customHeight="1" s="13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 ht="15.75" customHeight="1" s="134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 ht="15.75" customHeight="1" s="134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 ht="15.75" customHeight="1" s="134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 ht="15.75" customHeight="1" s="134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 ht="15.75" customHeight="1" s="134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 ht="15.75" customHeight="1" s="134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 ht="15.75" customHeight="1" s="134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 ht="15.75" customHeight="1" s="134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 ht="15.75" customHeight="1" s="134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 ht="15.75" customHeight="1" s="13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 ht="15.75" customHeight="1" s="134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 ht="15.75" customHeight="1" s="134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 ht="15.75" customHeight="1" s="134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 ht="15.75" customHeight="1" s="134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 ht="15.75" customHeight="1" s="134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 ht="15.75" customHeight="1" s="134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 ht="15.75" customHeight="1" s="134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 ht="15.75" customHeight="1" s="134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 ht="15.75" customHeight="1" s="134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 ht="15.75" customHeight="1" s="13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 ht="15.75" customHeight="1" s="134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 ht="15.75" customHeight="1" s="134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 ht="15.75" customHeight="1" s="134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 ht="15.75" customHeight="1" s="134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 ht="15.75" customHeight="1" s="134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 ht="15.75" customHeight="1" s="134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 ht="15.75" customHeight="1" s="134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 ht="15.75" customHeight="1" s="134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 ht="15.75" customHeight="1" s="134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 ht="15.75" customHeight="1" s="13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 ht="15.75" customHeight="1" s="134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 ht="15.75" customHeight="1" s="134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 ht="15.75" customHeight="1" s="134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 ht="15.75" customHeight="1" s="134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 ht="15.75" customHeight="1" s="134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 ht="15.75" customHeight="1" s="134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 ht="15.75" customHeight="1" s="134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 ht="15.75" customHeight="1" s="134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 ht="15.75" customHeight="1" s="134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 ht="15.75" customHeight="1" s="13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 ht="15.75" customHeight="1" s="134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 ht="15.75" customHeight="1" s="134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 ht="15.75" customHeight="1" s="134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 ht="15.75" customHeight="1" s="134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 ht="15.75" customHeight="1" s="134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 ht="15.75" customHeight="1" s="134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 ht="15.75" customHeight="1" s="134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 ht="15.75" customHeight="1" s="134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 ht="15.75" customHeight="1" s="134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 ht="15.75" customHeight="1" s="13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 ht="15.75" customHeight="1" s="134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 ht="15.75" customHeight="1" s="134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 ht="15.75" customHeight="1" s="134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 ht="15.75" customHeight="1" s="134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 ht="15.75" customHeight="1" s="134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 ht="15.75" customHeight="1" s="134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 ht="15.75" customHeight="1" s="134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 ht="15.75" customHeight="1" s="134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 ht="15.75" customHeight="1" s="134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 ht="15.75" customHeight="1" s="13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 ht="15.75" customHeight="1" s="134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 ht="15.75" customHeight="1" s="134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 ht="15.75" customHeight="1" s="134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 ht="15.75" customHeight="1" s="134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 ht="15.75" customHeight="1" s="134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 ht="15.75" customHeight="1" s="134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 ht="15.75" customHeight="1" s="134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 ht="15.75" customHeight="1" s="134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 ht="15.75" customHeight="1" s="134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 ht="15.75" customHeight="1" s="1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 ht="15.75" customHeight="1" s="134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 ht="15.75" customHeight="1" s="134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 ht="15.75" customHeight="1" s="134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 ht="15.75" customHeight="1" s="134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 ht="15.75" customHeight="1" s="134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 ht="15.75" customHeight="1" s="134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 ht="15.75" customHeight="1" s="134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 ht="15.75" customHeight="1" s="134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 ht="15.75" customHeight="1" s="134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 ht="15.75" customHeight="1" s="13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 ht="15.75" customHeight="1" s="134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 ht="15.75" customHeight="1" s="134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 ht="15.75" customHeight="1" s="134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 ht="15.75" customHeight="1" s="134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 ht="15.75" customHeight="1" s="134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 ht="15.75" customHeight="1" s="134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 ht="15.75" customHeight="1" s="134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 ht="15.75" customHeight="1" s="134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 ht="15.75" customHeight="1" s="134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 ht="15.75" customHeight="1" s="13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 ht="15.75" customHeight="1" s="134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 ht="15.75" customHeight="1" s="134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 ht="15.75" customHeight="1" s="134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 ht="15.75" customHeight="1" s="134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 ht="15.75" customHeight="1" s="134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 ht="15.75" customHeight="1" s="134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 ht="15.75" customHeight="1" s="134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 ht="15.75" customHeight="1" s="134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 ht="15.75" customHeight="1" s="134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 ht="15.75" customHeight="1" s="13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 ht="15.75" customHeight="1" s="134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 ht="15.75" customHeight="1" s="134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 ht="15.75" customHeight="1" s="134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 ht="15.75" customHeight="1" s="134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 ht="15.75" customHeight="1" s="134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 ht="15.75" customHeight="1" s="134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 ht="15.75" customHeight="1" s="134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 ht="15.75" customHeight="1" s="134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 ht="15.75" customHeight="1" s="134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 ht="15.75" customHeight="1" s="13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 ht="15.75" customHeight="1" s="134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 ht="15.75" customHeight="1" s="134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 ht="15.75" customHeight="1" s="134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 ht="15.75" customHeight="1" s="134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 ht="15.75" customHeight="1" s="134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 ht="15.75" customHeight="1" s="134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 ht="15.75" customHeight="1" s="134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 ht="15.75" customHeight="1" s="134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 ht="15.75" customHeight="1" s="134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 ht="15.75" customHeight="1" s="13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 ht="15.75" customHeight="1" s="134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</row>
    <row r="986" ht="15.75" customHeight="1" s="134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</row>
    <row r="987" ht="15.75" customHeight="1" s="134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 ht="15.75" customHeight="1" s="134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</row>
    <row r="989" ht="15.75" customHeight="1" s="134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</row>
    <row r="990" ht="15.75" customHeight="1" s="134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 ht="15.75" customHeight="1" s="134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</row>
    <row r="992" ht="15.75" customHeight="1" s="134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</row>
    <row r="993" ht="15.75" customHeight="1" s="134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</row>
    <row r="994" ht="15.75" customHeight="1" s="13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</row>
    <row r="995" ht="15.75" customHeight="1" s="134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</row>
    <row r="996" ht="15.75" customHeight="1" s="134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</row>
    <row r="997" ht="15.75" customHeight="1" s="134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</row>
    <row r="998" ht="15.75" customHeight="1" s="134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</row>
    <row r="999" ht="15.75" customHeight="1" s="134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</row>
    <row r="1000" ht="15.75" customHeight="1" s="134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</row>
  </sheetData>
  <mergeCells count="1">
    <mergeCell ref="A1:I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4.43" defaultRowHeight="15" customHeight="1" outlineLevelRow="1"/>
  <cols>
    <col width="38" customWidth="1" style="134" min="1" max="1"/>
    <col width="12" customWidth="1" style="134" min="2" max="9"/>
  </cols>
  <sheetData>
    <row r="1">
      <c r="A1" s="1" t="inlineStr">
        <is>
          <t>П&amp;Л факт — из выгрузки Adesk (2026-08-21), без изменений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4" t="inlineStr">
        <is>
          <t>Статья</t>
        </is>
      </c>
      <c r="B2" s="4" t="inlineStr">
        <is>
          <t>Январь</t>
        </is>
      </c>
      <c r="C2" s="4" t="inlineStr">
        <is>
          <t>Февраль</t>
        </is>
      </c>
      <c r="D2" s="4" t="inlineStr">
        <is>
          <t>Март</t>
        </is>
      </c>
      <c r="E2" s="4" t="inlineStr">
        <is>
          <t>Апрель</t>
        </is>
      </c>
      <c r="F2" s="4" t="inlineStr">
        <is>
          <t>Май</t>
        </is>
      </c>
      <c r="G2" s="4" t="inlineStr">
        <is>
          <t>Июнь</t>
        </is>
      </c>
      <c r="H2" s="4" t="inlineStr">
        <is>
          <t>Июль</t>
        </is>
      </c>
      <c r="I2" s="4" t="inlineStr">
        <is>
          <t>Август*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6" t="inlineStr">
        <is>
          <t>Выручка</t>
        </is>
      </c>
      <c r="B3" s="7" t="n">
        <v>607057</v>
      </c>
      <c r="C3" s="7" t="n">
        <v>711918</v>
      </c>
      <c r="D3" s="7" t="n">
        <v>1949364</v>
      </c>
      <c r="E3" s="7" t="n">
        <v>1451132</v>
      </c>
      <c r="F3" s="7" t="n">
        <v>2657327</v>
      </c>
      <c r="G3" s="7" t="n">
        <v>2417021</v>
      </c>
      <c r="H3" s="7" t="n">
        <v>2389851</v>
      </c>
      <c r="I3" s="7" t="n">
        <v>1130940</v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6" t="inlineStr">
        <is>
          <t>Прямые расходы (переменные)</t>
        </is>
      </c>
      <c r="B4" s="7" t="n">
        <v>-422251</v>
      </c>
      <c r="C4" s="7" t="n">
        <v>-425170</v>
      </c>
      <c r="D4" s="7" t="n">
        <v>-1120269</v>
      </c>
      <c r="E4" s="7" t="n">
        <v>-739891</v>
      </c>
      <c r="F4" s="7" t="n">
        <v>-1556820</v>
      </c>
      <c r="G4" s="7" t="n">
        <v>-1096289</v>
      </c>
      <c r="H4" s="7" t="n">
        <v>-1274531</v>
      </c>
      <c r="I4" s="7" t="n">
        <v>-133291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0" t="inlineStr">
        <is>
          <t xml:space="preserve">  в т.ч. Расходные материалы</t>
        </is>
      </c>
      <c r="B5" s="7" t="n">
        <v>-84976</v>
      </c>
      <c r="C5" s="7" t="n">
        <v>-117700</v>
      </c>
      <c r="D5" s="7" t="n">
        <v>-729571</v>
      </c>
      <c r="E5" s="7" t="n">
        <v>-333935</v>
      </c>
      <c r="F5" s="7" t="n">
        <v>-920919</v>
      </c>
      <c r="G5" s="7" t="n">
        <v>-551863</v>
      </c>
      <c r="H5" s="7" t="n">
        <v>-581642</v>
      </c>
      <c r="I5" s="7" t="n">
        <v>-108291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0" t="inlineStr">
        <is>
          <t xml:space="preserve">  в т.ч. ФОТ специалистов</t>
        </is>
      </c>
      <c r="B6" s="7" t="n">
        <v>-337275</v>
      </c>
      <c r="C6" s="7" t="n">
        <v>-307470</v>
      </c>
      <c r="D6" s="7" t="n">
        <v>-390698</v>
      </c>
      <c r="E6" s="7" t="n">
        <v>-405956</v>
      </c>
      <c r="F6" s="7" t="n">
        <v>-635901</v>
      </c>
      <c r="G6" s="7" t="n">
        <v>-544426</v>
      </c>
      <c r="H6" s="7" t="n">
        <v>-692889</v>
      </c>
      <c r="I6" s="7" t="n">
        <v>-25000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1" t="inlineStr">
        <is>
          <t>Валовая прибыль</t>
        </is>
      </c>
      <c r="B7" s="12" t="n">
        <v>184806</v>
      </c>
      <c r="C7" s="12" t="n">
        <v>286748</v>
      </c>
      <c r="D7" s="12" t="n">
        <v>829095</v>
      </c>
      <c r="E7" s="12" t="n">
        <v>711241</v>
      </c>
      <c r="F7" s="12" t="n">
        <v>1100507</v>
      </c>
      <c r="G7" s="12" t="n">
        <v>1320732</v>
      </c>
      <c r="H7" s="12" t="n">
        <v>1115320</v>
      </c>
      <c r="I7" s="12" t="n">
        <v>997649</v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6" t="inlineStr">
        <is>
          <t>Косвенные расходы (постоянные+прочее)</t>
        </is>
      </c>
      <c r="B8" s="7" t="n">
        <v>-282741</v>
      </c>
      <c r="C8" s="7" t="n">
        <v>-444671</v>
      </c>
      <c r="D8" s="7" t="n">
        <v>-942541</v>
      </c>
      <c r="E8" s="7" t="n">
        <v>-621197</v>
      </c>
      <c r="F8" s="7" t="n">
        <v>-691519</v>
      </c>
      <c r="G8" s="7" t="n">
        <v>-1258711</v>
      </c>
      <c r="H8" s="7" t="n">
        <v>-883135</v>
      </c>
      <c r="I8" s="7" t="n">
        <v>-523122</v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0" t="inlineStr">
        <is>
          <t xml:space="preserve">  в т.ч. Закупка косметики на продажу</t>
        </is>
      </c>
      <c r="B9" s="7" t="n">
        <v>0</v>
      </c>
      <c r="C9" s="7" t="n">
        <v>0</v>
      </c>
      <c r="D9" s="7" t="n">
        <v>-298880</v>
      </c>
      <c r="E9" s="7" t="n">
        <v>0</v>
      </c>
      <c r="F9" s="7" t="n">
        <v>-38430</v>
      </c>
      <c r="G9" s="7" t="n">
        <v>-503954</v>
      </c>
      <c r="H9" s="7" t="n">
        <v>-189243</v>
      </c>
      <c r="I9" s="7" t="n">
        <v>-45000</v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1" t="inlineStr">
        <is>
          <t>Операционная прибыль</t>
        </is>
      </c>
      <c r="B10" s="12" t="n">
        <v>-97935</v>
      </c>
      <c r="C10" s="12" t="n">
        <v>-157923</v>
      </c>
      <c r="D10" s="12" t="n">
        <v>-113446</v>
      </c>
      <c r="E10" s="12" t="n">
        <v>90044</v>
      </c>
      <c r="F10" s="12" t="n">
        <v>408989</v>
      </c>
      <c r="G10" s="12" t="n">
        <v>62021</v>
      </c>
      <c r="H10" s="12" t="n">
        <v>232184</v>
      </c>
      <c r="I10" s="12" t="n">
        <v>474527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1" t="inlineStr">
        <is>
          <t>Чистая прибыль</t>
        </is>
      </c>
      <c r="B11" s="12" t="n">
        <v>-104220</v>
      </c>
      <c r="C11" s="12" t="n">
        <v>-158413</v>
      </c>
      <c r="D11" s="12" t="n">
        <v>-117900</v>
      </c>
      <c r="E11" s="12" t="n">
        <v>100219</v>
      </c>
      <c r="F11" s="12" t="n">
        <v>408989</v>
      </c>
      <c r="G11" s="12" t="n">
        <v>-3026</v>
      </c>
      <c r="H11" s="12" t="n">
        <v>229184</v>
      </c>
      <c r="I11" s="12" t="n">
        <v>444092</v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9" t="inlineStr">
        <is>
          <t>* Август — не закрытый месяц, не показатель за полный месяц.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34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34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34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3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34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34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34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34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34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34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34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34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34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34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34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34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34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34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34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34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34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34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3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34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34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34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34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34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34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34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34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34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3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34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34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34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34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34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34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34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34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34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3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34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34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34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34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34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34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34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34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34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3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34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34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34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34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34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34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34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34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34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3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34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34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34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34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34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34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34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34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34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3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34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34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34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34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34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34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34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34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34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3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34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34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34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34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34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34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34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34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34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3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34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34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34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34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34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34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34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34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34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3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34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34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34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34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34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34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34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34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34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34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34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34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34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34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34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34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34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34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3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34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34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34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34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34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34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34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34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34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3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34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34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34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34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34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34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34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34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34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3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34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34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34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34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34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34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34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34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34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3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34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34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34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34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34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34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34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34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34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3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34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34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34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34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34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34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34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34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34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3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34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34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34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34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34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34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34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34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34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3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34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34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34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34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34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34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34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34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34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3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34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34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34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34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34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34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34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 ht="15.75" customHeight="1" s="134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 ht="15.75" customHeight="1" s="134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 ht="15.75" customHeight="1" s="13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 ht="15.75" customHeight="1" s="134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 ht="15.75" customHeight="1" s="134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 ht="15.75" customHeight="1" s="134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 ht="15.75" customHeight="1" s="134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 ht="15.75" customHeight="1" s="134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 ht="15.75" customHeight="1" s="134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 ht="15.75" customHeight="1" s="134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 ht="15.75" customHeight="1" s="134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 ht="15.75" customHeight="1" s="134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 ht="15.75" customHeight="1" s="1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 ht="15.75" customHeight="1" s="134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 ht="15.75" customHeight="1" s="134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 ht="15.75" customHeight="1" s="134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 ht="15.75" customHeight="1" s="134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 ht="15.75" customHeight="1" s="134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 ht="15.75" customHeight="1" s="134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 ht="15.75" customHeight="1" s="134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 ht="15.75" customHeight="1" s="134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 ht="15.75" customHeight="1" s="134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 ht="15.75" customHeight="1" s="13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 ht="15.75" customHeight="1" s="134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 ht="15.75" customHeight="1" s="134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 ht="15.75" customHeight="1" s="134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 ht="15.75" customHeight="1" s="134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 ht="15.75" customHeight="1" s="134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 ht="15.75" customHeight="1" s="134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 ht="15.75" customHeight="1" s="134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 ht="15.75" customHeight="1" s="134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 ht="15.75" customHeight="1" s="134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 ht="15.75" customHeight="1" s="13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 ht="15.75" customHeight="1" s="134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 ht="15.75" customHeight="1" s="134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 ht="15.75" customHeight="1" s="134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 ht="15.75" customHeight="1" s="134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 ht="15.75" customHeight="1" s="134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 ht="15.75" customHeight="1" s="134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 ht="15.75" customHeight="1" s="134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 ht="15.75" customHeight="1" s="134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 ht="15.75" customHeight="1" s="134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 ht="15.75" customHeight="1" s="13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 ht="15.75" customHeight="1" s="134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 ht="15.75" customHeight="1" s="134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 ht="15.75" customHeight="1" s="134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 ht="15.75" customHeight="1" s="134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 ht="15.75" customHeight="1" s="134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 ht="15.75" customHeight="1" s="134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 ht="15.75" customHeight="1" s="134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 ht="15.75" customHeight="1" s="134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 ht="15.75" customHeight="1" s="134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 ht="15.75" customHeight="1" s="13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 ht="15.75" customHeight="1" s="134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 ht="15.75" customHeight="1" s="134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 ht="15.75" customHeight="1" s="134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 ht="15.75" customHeight="1" s="134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 ht="15.75" customHeight="1" s="134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 ht="15.75" customHeight="1" s="134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 ht="15.75" customHeight="1" s="134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 ht="15.75" customHeight="1" s="134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 ht="15.75" customHeight="1" s="134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 ht="15.75" customHeight="1" s="13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 ht="15.75" customHeight="1" s="134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 ht="15.75" customHeight="1" s="134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 ht="15.75" customHeight="1" s="134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 ht="15.75" customHeight="1" s="134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 ht="15.75" customHeight="1" s="134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 ht="15.75" customHeight="1" s="134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 ht="15.75" customHeight="1" s="134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 ht="15.75" customHeight="1" s="134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 ht="15.75" customHeight="1" s="134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 ht="15.75" customHeight="1" s="13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 ht="15.75" customHeight="1" s="134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 ht="15.75" customHeight="1" s="134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 ht="15.75" customHeight="1" s="134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 ht="15.75" customHeight="1" s="134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 ht="15.75" customHeight="1" s="134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 ht="15.75" customHeight="1" s="134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 ht="15.75" customHeight="1" s="134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 ht="15.75" customHeight="1" s="134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 ht="15.75" customHeight="1" s="134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 ht="15.75" customHeight="1" s="13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 ht="15.75" customHeight="1" s="134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 ht="15.75" customHeight="1" s="134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 ht="15.75" customHeight="1" s="134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 ht="15.75" customHeight="1" s="134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 ht="15.75" customHeight="1" s="134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 ht="15.75" customHeight="1" s="134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 ht="15.75" customHeight="1" s="134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 ht="15.75" customHeight="1" s="134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 ht="15.75" customHeight="1" s="134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 ht="15.75" customHeight="1" s="13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 ht="15.75" customHeight="1" s="134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 ht="15.75" customHeight="1" s="134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 ht="15.75" customHeight="1" s="134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 ht="15.75" customHeight="1" s="134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 ht="15.75" customHeight="1" s="134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 ht="15.75" customHeight="1" s="134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 ht="15.75" customHeight="1" s="134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 ht="15.75" customHeight="1" s="134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 ht="15.75" customHeight="1" s="134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 ht="15.75" customHeight="1" s="13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 ht="15.75" customHeight="1" s="134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 ht="15.75" customHeight="1" s="134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 ht="15.75" customHeight="1" s="134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 ht="15.75" customHeight="1" s="134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 ht="15.75" customHeight="1" s="134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 ht="15.75" customHeight="1" s="134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 ht="15.75" customHeight="1" s="134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 ht="15.75" customHeight="1" s="134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 ht="15.75" customHeight="1" s="134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 ht="15.75" customHeight="1" s="1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 ht="15.75" customHeight="1" s="134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 ht="15.75" customHeight="1" s="134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 ht="15.75" customHeight="1" s="134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 ht="15.75" customHeight="1" s="134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 ht="15.75" customHeight="1" s="134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 ht="15.75" customHeight="1" s="134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 ht="15.75" customHeight="1" s="134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 ht="15.75" customHeight="1" s="134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 ht="15.75" customHeight="1" s="134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 ht="15.75" customHeight="1" s="13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 ht="15.75" customHeight="1" s="134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 ht="15.75" customHeight="1" s="134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 ht="15.75" customHeight="1" s="134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 ht="15.75" customHeight="1" s="134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 ht="15.75" customHeight="1" s="134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 ht="15.75" customHeight="1" s="134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 ht="15.75" customHeight="1" s="134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 ht="15.75" customHeight="1" s="134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 ht="15.75" customHeight="1" s="134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 ht="15.75" customHeight="1" s="13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 ht="15.75" customHeight="1" s="134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 ht="15.75" customHeight="1" s="134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 ht="15.75" customHeight="1" s="134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 ht="15.75" customHeight="1" s="134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 ht="15.75" customHeight="1" s="134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 ht="15.75" customHeight="1" s="134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 ht="15.75" customHeight="1" s="134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 ht="15.75" customHeight="1" s="134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 ht="15.75" customHeight="1" s="134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 ht="15.75" customHeight="1" s="13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 ht="15.75" customHeight="1" s="134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 ht="15.75" customHeight="1" s="134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 ht="15.75" customHeight="1" s="134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 ht="15.75" customHeight="1" s="134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 ht="15.75" customHeight="1" s="134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 ht="15.75" customHeight="1" s="134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 ht="15.75" customHeight="1" s="134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 ht="15.75" customHeight="1" s="134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 ht="15.75" customHeight="1" s="134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 ht="15.75" customHeight="1" s="13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 ht="15.75" customHeight="1" s="134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 ht="15.75" customHeight="1" s="134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 ht="15.75" customHeight="1" s="134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 ht="15.75" customHeight="1" s="134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 ht="15.75" customHeight="1" s="134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 ht="15.75" customHeight="1" s="134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 ht="15.75" customHeight="1" s="134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 ht="15.75" customHeight="1" s="134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 ht="15.75" customHeight="1" s="134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 ht="15.75" customHeight="1" s="13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 ht="15.75" customHeight="1" s="134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 ht="15.75" customHeight="1" s="134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 ht="15.75" customHeight="1" s="134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 ht="15.75" customHeight="1" s="134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 ht="15.75" customHeight="1" s="134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 ht="15.75" customHeight="1" s="134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 ht="15.75" customHeight="1" s="134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 ht="15.75" customHeight="1" s="134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 ht="15.75" customHeight="1" s="134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 ht="15.75" customHeight="1" s="13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 ht="15.75" customHeight="1" s="134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 ht="15.75" customHeight="1" s="134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 ht="15.75" customHeight="1" s="134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 ht="15.75" customHeight="1" s="134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 ht="15.75" customHeight="1" s="134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 ht="15.75" customHeight="1" s="134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 ht="15.75" customHeight="1" s="134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 ht="15.75" customHeight="1" s="134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 ht="15.75" customHeight="1" s="134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 ht="15.75" customHeight="1" s="13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 ht="15.75" customHeight="1" s="134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 ht="15.75" customHeight="1" s="134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 ht="15.75" customHeight="1" s="134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 ht="15.75" customHeight="1" s="134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 ht="15.75" customHeight="1" s="134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 ht="15.75" customHeight="1" s="134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 ht="15.75" customHeight="1" s="134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 ht="15.75" customHeight="1" s="134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 ht="15.75" customHeight="1" s="134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 ht="15.75" customHeight="1" s="13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 ht="15.75" customHeight="1" s="134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 ht="15.75" customHeight="1" s="134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 ht="15.75" customHeight="1" s="134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 ht="15.75" customHeight="1" s="134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 ht="15.75" customHeight="1" s="134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 ht="15.75" customHeight="1" s="134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 ht="15.75" customHeight="1" s="134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 ht="15.75" customHeight="1" s="134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 ht="15.75" customHeight="1" s="134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 ht="15.75" customHeight="1" s="13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 ht="15.75" customHeight="1" s="134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 ht="15.75" customHeight="1" s="134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 ht="15.75" customHeight="1" s="134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 ht="15.75" customHeight="1" s="134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 ht="15.75" customHeight="1" s="134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 ht="15.75" customHeight="1" s="134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 ht="15.75" customHeight="1" s="134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 ht="15.75" customHeight="1" s="134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 ht="15.75" customHeight="1" s="134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 ht="15.75" customHeight="1" s="1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 ht="15.75" customHeight="1" s="134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 ht="15.75" customHeight="1" s="134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 ht="15.75" customHeight="1" s="134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 ht="15.75" customHeight="1" s="134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 ht="15.75" customHeight="1" s="134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 ht="15.75" customHeight="1" s="134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 ht="15.75" customHeight="1" s="134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 ht="15.75" customHeight="1" s="134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 ht="15.75" customHeight="1" s="134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 ht="15.75" customHeight="1" s="13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 ht="15.75" customHeight="1" s="134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 ht="15.75" customHeight="1" s="134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 ht="15.75" customHeight="1" s="134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 ht="15.75" customHeight="1" s="134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 ht="15.75" customHeight="1" s="134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 ht="15.75" customHeight="1" s="134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 ht="15.75" customHeight="1" s="134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 ht="15.75" customHeight="1" s="134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 ht="15.75" customHeight="1" s="134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 ht="15.75" customHeight="1" s="13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 ht="15.75" customHeight="1" s="134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 ht="15.75" customHeight="1" s="134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 ht="15.75" customHeight="1" s="134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 ht="15.75" customHeight="1" s="134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 ht="15.75" customHeight="1" s="134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 ht="15.75" customHeight="1" s="134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 ht="15.75" customHeight="1" s="134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 ht="15.75" customHeight="1" s="134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 ht="15.75" customHeight="1" s="134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 ht="15.75" customHeight="1" s="13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 ht="15.75" customHeight="1" s="134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 ht="15.75" customHeight="1" s="134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 ht="15.75" customHeight="1" s="134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 ht="15.75" customHeight="1" s="134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 ht="15.75" customHeight="1" s="134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 ht="15.75" customHeight="1" s="134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 ht="15.75" customHeight="1" s="134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 ht="15.75" customHeight="1" s="134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 ht="15.75" customHeight="1" s="134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 ht="15.75" customHeight="1" s="13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 ht="15.75" customHeight="1" s="134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 ht="15.75" customHeight="1" s="134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 ht="15.75" customHeight="1" s="134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 ht="15.75" customHeight="1" s="134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 ht="15.75" customHeight="1" s="134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 ht="15.75" customHeight="1" s="134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 ht="15.75" customHeight="1" s="134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 ht="15.75" customHeight="1" s="134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 ht="15.75" customHeight="1" s="134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 ht="15.75" customHeight="1" s="13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 ht="15.75" customHeight="1" s="134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 ht="15.75" customHeight="1" s="134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 ht="15.75" customHeight="1" s="134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 ht="15.75" customHeight="1" s="134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 ht="15.75" customHeight="1" s="134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 ht="15.75" customHeight="1" s="134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 ht="15.75" customHeight="1" s="134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 ht="15.75" customHeight="1" s="134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 ht="15.75" customHeight="1" s="134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 ht="15.75" customHeight="1" s="13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 ht="15.75" customHeight="1" s="134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 ht="15.75" customHeight="1" s="134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 ht="15.75" customHeight="1" s="134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 ht="15.75" customHeight="1" s="134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 ht="15.75" customHeight="1" s="134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 ht="15.75" customHeight="1" s="134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 ht="15.75" customHeight="1" s="134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 ht="15.75" customHeight="1" s="134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 ht="15.75" customHeight="1" s="134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 ht="15.75" customHeight="1" s="13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 ht="15.75" customHeight="1" s="134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 ht="15.75" customHeight="1" s="134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 ht="15.75" customHeight="1" s="134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 ht="15.75" customHeight="1" s="134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 ht="15.75" customHeight="1" s="134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 ht="15.75" customHeight="1" s="134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 ht="15.75" customHeight="1" s="134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 ht="15.75" customHeight="1" s="134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 ht="15.75" customHeight="1" s="134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 ht="15.75" customHeight="1" s="13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 ht="15.75" customHeight="1" s="134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 ht="15.75" customHeight="1" s="134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 ht="15.75" customHeight="1" s="134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 ht="15.75" customHeight="1" s="134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 ht="15.75" customHeight="1" s="134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 ht="15.75" customHeight="1" s="134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 ht="15.75" customHeight="1" s="134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 ht="15.75" customHeight="1" s="134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 ht="15.75" customHeight="1" s="134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 ht="15.75" customHeight="1" s="13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 ht="15.75" customHeight="1" s="134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 ht="15.75" customHeight="1" s="134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 ht="15.75" customHeight="1" s="134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 ht="15.75" customHeight="1" s="134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 ht="15.75" customHeight="1" s="134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 ht="15.75" customHeight="1" s="134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 ht="15.75" customHeight="1" s="134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 ht="15.75" customHeight="1" s="134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 ht="15.75" customHeight="1" s="134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 ht="15.75" customHeight="1" s="1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 ht="15.75" customHeight="1" s="134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 ht="15.75" customHeight="1" s="134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 ht="15.75" customHeight="1" s="134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 ht="15.75" customHeight="1" s="134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 ht="15.75" customHeight="1" s="134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 ht="15.75" customHeight="1" s="134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 ht="15.75" customHeight="1" s="134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 ht="15.75" customHeight="1" s="134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 ht="15.75" customHeight="1" s="134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 ht="15.75" customHeight="1" s="13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 ht="15.75" customHeight="1" s="134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 ht="15.75" customHeight="1" s="134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 ht="15.75" customHeight="1" s="134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 ht="15.75" customHeight="1" s="134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 ht="15.75" customHeight="1" s="134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 ht="15.75" customHeight="1" s="134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 ht="15.75" customHeight="1" s="134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 ht="15.75" customHeight="1" s="134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 ht="15.75" customHeight="1" s="134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 ht="15.75" customHeight="1" s="13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 ht="15.75" customHeight="1" s="134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 ht="15.75" customHeight="1" s="134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 ht="15.75" customHeight="1" s="134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 ht="15.75" customHeight="1" s="134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 ht="15.75" customHeight="1" s="134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 ht="15.75" customHeight="1" s="134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 ht="15.75" customHeight="1" s="134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 ht="15.75" customHeight="1" s="134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 ht="15.75" customHeight="1" s="134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 ht="15.75" customHeight="1" s="13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 ht="15.75" customHeight="1" s="134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 ht="15.75" customHeight="1" s="134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 ht="15.75" customHeight="1" s="134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 ht="15.75" customHeight="1" s="134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 ht="15.75" customHeight="1" s="134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 ht="15.75" customHeight="1" s="134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 ht="15.75" customHeight="1" s="134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 ht="15.75" customHeight="1" s="134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 ht="15.75" customHeight="1" s="134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 ht="15.75" customHeight="1" s="13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 ht="15.75" customHeight="1" s="134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 ht="15.75" customHeight="1" s="134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 ht="15.75" customHeight="1" s="134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 ht="15.75" customHeight="1" s="134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 ht="15.75" customHeight="1" s="134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 ht="15.75" customHeight="1" s="134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 ht="15.75" customHeight="1" s="134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 ht="15.75" customHeight="1" s="134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 ht="15.75" customHeight="1" s="134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 ht="15.75" customHeight="1" s="13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 ht="15.75" customHeight="1" s="134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 ht="15.75" customHeight="1" s="134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 ht="15.75" customHeight="1" s="134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 ht="15.75" customHeight="1" s="134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 ht="15.75" customHeight="1" s="134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 ht="15.75" customHeight="1" s="134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 ht="15.75" customHeight="1" s="134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 ht="15.75" customHeight="1" s="134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 ht="15.75" customHeight="1" s="134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 ht="15.75" customHeight="1" s="13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 ht="15.75" customHeight="1" s="134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 ht="15.75" customHeight="1" s="134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 ht="15.75" customHeight="1" s="134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 ht="15.75" customHeight="1" s="134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 ht="15.75" customHeight="1" s="134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 ht="15.75" customHeight="1" s="134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 ht="15.75" customHeight="1" s="134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 ht="15.75" customHeight="1" s="134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 ht="15.75" customHeight="1" s="134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 ht="15.75" customHeight="1" s="13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 ht="15.75" customHeight="1" s="134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 ht="15.75" customHeight="1" s="134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 ht="15.75" customHeight="1" s="134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 ht="15.75" customHeight="1" s="134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 ht="15.75" customHeight="1" s="134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 ht="15.75" customHeight="1" s="134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 ht="15.75" customHeight="1" s="134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 ht="15.75" customHeight="1" s="134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 ht="15.75" customHeight="1" s="134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 ht="15.75" customHeight="1" s="13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 ht="15.75" customHeight="1" s="134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 ht="15.75" customHeight="1" s="134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 ht="15.75" customHeight="1" s="134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 ht="15.75" customHeight="1" s="134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 ht="15.75" customHeight="1" s="134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 ht="15.75" customHeight="1" s="134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 ht="15.75" customHeight="1" s="134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 ht="15.75" customHeight="1" s="134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 ht="15.75" customHeight="1" s="134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 ht="15.75" customHeight="1" s="13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 ht="15.75" customHeight="1" s="134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 ht="15.75" customHeight="1" s="134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 ht="15.75" customHeight="1" s="134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 ht="15.75" customHeight="1" s="134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 ht="15.75" customHeight="1" s="134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 ht="15.75" customHeight="1" s="134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 ht="15.75" customHeight="1" s="134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 ht="15.75" customHeight="1" s="134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 ht="15.75" customHeight="1" s="134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 ht="15.75" customHeight="1" s="1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 ht="15.75" customHeight="1" s="134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 ht="15.75" customHeight="1" s="134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 ht="15.75" customHeight="1" s="134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 ht="15.75" customHeight="1" s="134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 ht="15.75" customHeight="1" s="134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 ht="15.75" customHeight="1" s="134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 ht="15.75" customHeight="1" s="134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 ht="15.75" customHeight="1" s="134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 ht="15.75" customHeight="1" s="134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 ht="15.75" customHeight="1" s="13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 ht="15.75" customHeight="1" s="134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 ht="15.75" customHeight="1" s="134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 ht="15.75" customHeight="1" s="134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 ht="15.75" customHeight="1" s="134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 ht="15.75" customHeight="1" s="134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 ht="15.75" customHeight="1" s="134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 ht="15.75" customHeight="1" s="134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 ht="15.75" customHeight="1" s="134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 ht="15.75" customHeight="1" s="134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 ht="15.75" customHeight="1" s="13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 ht="15.75" customHeight="1" s="134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 ht="15.75" customHeight="1" s="134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 ht="15.75" customHeight="1" s="134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 ht="15.75" customHeight="1" s="134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 ht="15.75" customHeight="1" s="134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 ht="15.75" customHeight="1" s="134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 ht="15.75" customHeight="1" s="134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 ht="15.75" customHeight="1" s="134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 ht="15.75" customHeight="1" s="134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 ht="15.75" customHeight="1" s="13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 ht="15.75" customHeight="1" s="134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 ht="15.75" customHeight="1" s="134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 ht="15.75" customHeight="1" s="134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 ht="15.75" customHeight="1" s="134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 ht="15.75" customHeight="1" s="134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 ht="15.75" customHeight="1" s="134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 ht="15.75" customHeight="1" s="134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 ht="15.75" customHeight="1" s="134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 ht="15.75" customHeight="1" s="134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 ht="15.75" customHeight="1" s="13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 ht="15.75" customHeight="1" s="134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 ht="15.75" customHeight="1" s="134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 ht="15.75" customHeight="1" s="134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 ht="15.75" customHeight="1" s="134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 ht="15.75" customHeight="1" s="134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 ht="15.75" customHeight="1" s="134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 ht="15.75" customHeight="1" s="134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 ht="15.75" customHeight="1" s="134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 ht="15.75" customHeight="1" s="134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 ht="15.75" customHeight="1" s="13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 ht="15.75" customHeight="1" s="134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 ht="15.75" customHeight="1" s="134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 ht="15.75" customHeight="1" s="134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 ht="15.75" customHeight="1" s="134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 ht="15.75" customHeight="1" s="134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 ht="15.75" customHeight="1" s="134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 ht="15.75" customHeight="1" s="134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 ht="15.75" customHeight="1" s="134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 ht="15.75" customHeight="1" s="134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 ht="15.75" customHeight="1" s="13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 ht="15.75" customHeight="1" s="134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 ht="15.75" customHeight="1" s="134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 ht="15.75" customHeight="1" s="134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 ht="15.75" customHeight="1" s="134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 ht="15.75" customHeight="1" s="134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 ht="15.75" customHeight="1" s="134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 ht="15.75" customHeight="1" s="134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 ht="15.75" customHeight="1" s="134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 ht="15.75" customHeight="1" s="134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 ht="15.75" customHeight="1" s="13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 ht="15.75" customHeight="1" s="134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 ht="15.75" customHeight="1" s="134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 ht="15.75" customHeight="1" s="134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 ht="15.75" customHeight="1" s="134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 ht="15.75" customHeight="1" s="134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 ht="15.75" customHeight="1" s="134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 ht="15.75" customHeight="1" s="134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 ht="15.75" customHeight="1" s="134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 ht="15.75" customHeight="1" s="134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 ht="15.75" customHeight="1" s="13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 ht="15.75" customHeight="1" s="134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 ht="15.75" customHeight="1" s="134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 ht="15.75" customHeight="1" s="134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 ht="15.75" customHeight="1" s="134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 ht="15.75" customHeight="1" s="134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 ht="15.75" customHeight="1" s="134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 ht="15.75" customHeight="1" s="134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 ht="15.75" customHeight="1" s="134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 ht="15.75" customHeight="1" s="134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 ht="15.75" customHeight="1" s="13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 ht="15.75" customHeight="1" s="134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 ht="15.75" customHeight="1" s="134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 ht="15.75" customHeight="1" s="134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 ht="15.75" customHeight="1" s="134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 ht="15.75" customHeight="1" s="134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 ht="15.75" customHeight="1" s="134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 ht="15.75" customHeight="1" s="134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 ht="15.75" customHeight="1" s="134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 ht="15.75" customHeight="1" s="134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 ht="15.75" customHeight="1" s="1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 ht="15.75" customHeight="1" s="134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 ht="15.75" customHeight="1" s="134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 ht="15.75" customHeight="1" s="134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 ht="15.75" customHeight="1" s="134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 ht="15.75" customHeight="1" s="134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 ht="15.75" customHeight="1" s="134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 ht="15.75" customHeight="1" s="134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 ht="15.75" customHeight="1" s="134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 ht="15.75" customHeight="1" s="134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 ht="15.75" customHeight="1" s="13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 ht="15.75" customHeight="1" s="134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 ht="15.75" customHeight="1" s="134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 ht="15.75" customHeight="1" s="134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 ht="15.75" customHeight="1" s="134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 ht="15.75" customHeight="1" s="134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 ht="15.75" customHeight="1" s="134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 ht="15.75" customHeight="1" s="134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 ht="15.75" customHeight="1" s="134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 ht="15.75" customHeight="1" s="134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 ht="15.75" customHeight="1" s="13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 ht="15.75" customHeight="1" s="134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 ht="15.75" customHeight="1" s="134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 ht="15.75" customHeight="1" s="134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 ht="15.75" customHeight="1" s="134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 ht="15.75" customHeight="1" s="134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 ht="15.75" customHeight="1" s="134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 ht="15.75" customHeight="1" s="134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 ht="15.75" customHeight="1" s="134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 ht="15.75" customHeight="1" s="134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 ht="15.75" customHeight="1" s="13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 ht="15.75" customHeight="1" s="134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 ht="15.75" customHeight="1" s="134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 ht="15.75" customHeight="1" s="134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 ht="15.75" customHeight="1" s="134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 ht="15.75" customHeight="1" s="134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 ht="15.75" customHeight="1" s="134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 ht="15.75" customHeight="1" s="134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 ht="15.75" customHeight="1" s="134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 ht="15.75" customHeight="1" s="134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 ht="15.75" customHeight="1" s="13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 ht="15.75" customHeight="1" s="134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 ht="15.75" customHeight="1" s="134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 ht="15.75" customHeight="1" s="134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 ht="15.75" customHeight="1" s="134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 ht="15.75" customHeight="1" s="134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 ht="15.75" customHeight="1" s="134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 ht="15.75" customHeight="1" s="134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 ht="15.75" customHeight="1" s="134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 ht="15.75" customHeight="1" s="134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 ht="15.75" customHeight="1" s="13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 ht="15.75" customHeight="1" s="134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 ht="15.75" customHeight="1" s="134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 ht="15.75" customHeight="1" s="134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 ht="15.75" customHeight="1" s="134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 ht="15.75" customHeight="1" s="134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 ht="15.75" customHeight="1" s="134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 ht="15.75" customHeight="1" s="134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 ht="15.75" customHeight="1" s="134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 ht="15.75" customHeight="1" s="134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 ht="15.75" customHeight="1" s="13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 ht="15.75" customHeight="1" s="134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 ht="15.75" customHeight="1" s="134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 ht="15.75" customHeight="1" s="134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 ht="15.75" customHeight="1" s="134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 ht="15.75" customHeight="1" s="134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 ht="15.75" customHeight="1" s="134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 ht="15.75" customHeight="1" s="134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 ht="15.75" customHeight="1" s="134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 ht="15.75" customHeight="1" s="134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 ht="15.75" customHeight="1" s="13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 ht="15.75" customHeight="1" s="134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 ht="15.75" customHeight="1" s="134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 ht="15.75" customHeight="1" s="134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 ht="15.75" customHeight="1" s="134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 ht="15.75" customHeight="1" s="134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 ht="15.75" customHeight="1" s="134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 ht="15.75" customHeight="1" s="134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 ht="15.75" customHeight="1" s="134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 ht="15.75" customHeight="1" s="134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 ht="15.75" customHeight="1" s="13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 ht="15.75" customHeight="1" s="134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 ht="15.75" customHeight="1" s="134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 ht="15.75" customHeight="1" s="134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 ht="15.75" customHeight="1" s="134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 ht="15.75" customHeight="1" s="134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 ht="15.75" customHeight="1" s="134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 ht="15.75" customHeight="1" s="134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 ht="15.75" customHeight="1" s="134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 ht="15.75" customHeight="1" s="134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 ht="15.75" customHeight="1" s="13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 ht="15.75" customHeight="1" s="134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 ht="15.75" customHeight="1" s="134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 ht="15.75" customHeight="1" s="134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 ht="15.75" customHeight="1" s="134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 ht="15.75" customHeight="1" s="134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 ht="15.75" customHeight="1" s="134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 ht="15.75" customHeight="1" s="134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 ht="15.75" customHeight="1" s="134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 ht="15.75" customHeight="1" s="134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 ht="15.75" customHeight="1" s="1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 ht="15.75" customHeight="1" s="134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 ht="15.75" customHeight="1" s="134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 ht="15.75" customHeight="1" s="134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 ht="15.75" customHeight="1" s="134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 ht="15.75" customHeight="1" s="134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 ht="15.75" customHeight="1" s="134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 ht="15.75" customHeight="1" s="134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 ht="15.75" customHeight="1" s="134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 ht="15.75" customHeight="1" s="134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 ht="15.75" customHeight="1" s="13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 ht="15.75" customHeight="1" s="134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 ht="15.75" customHeight="1" s="134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 ht="15.75" customHeight="1" s="134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 ht="15.75" customHeight="1" s="134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 ht="15.75" customHeight="1" s="134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 ht="15.75" customHeight="1" s="134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 ht="15.75" customHeight="1" s="134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 ht="15.75" customHeight="1" s="134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 ht="15.75" customHeight="1" s="134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 ht="15.75" customHeight="1" s="13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 ht="15.75" customHeight="1" s="134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 ht="15.75" customHeight="1" s="134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 ht="15.75" customHeight="1" s="134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 ht="15.75" customHeight="1" s="134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 ht="15.75" customHeight="1" s="134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 ht="15.75" customHeight="1" s="134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 ht="15.75" customHeight="1" s="134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 ht="15.75" customHeight="1" s="134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 ht="15.75" customHeight="1" s="134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 ht="15.75" customHeight="1" s="13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 ht="15.75" customHeight="1" s="134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 ht="15.75" customHeight="1" s="134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 ht="15.75" customHeight="1" s="134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 ht="15.75" customHeight="1" s="134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 ht="15.75" customHeight="1" s="134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 ht="15.75" customHeight="1" s="134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 ht="15.75" customHeight="1" s="134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 ht="15.75" customHeight="1" s="134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 ht="15.75" customHeight="1" s="134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 ht="15.75" customHeight="1" s="13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 ht="15.75" customHeight="1" s="134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 ht="15.75" customHeight="1" s="134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 ht="15.75" customHeight="1" s="134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 ht="15.75" customHeight="1" s="134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 ht="15.75" customHeight="1" s="134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 ht="15.75" customHeight="1" s="134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 ht="15.75" customHeight="1" s="134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 ht="15.75" customHeight="1" s="134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 ht="15.75" customHeight="1" s="134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 ht="15.75" customHeight="1" s="13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 ht="15.75" customHeight="1" s="134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 ht="15.75" customHeight="1" s="134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 ht="15.75" customHeight="1" s="134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 ht="15.75" customHeight="1" s="134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 ht="15.75" customHeight="1" s="134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 ht="15.75" customHeight="1" s="134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 ht="15.75" customHeight="1" s="134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 ht="15.75" customHeight="1" s="134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 ht="15.75" customHeight="1" s="134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 ht="15.75" customHeight="1" s="13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 ht="15.75" customHeight="1" s="134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 ht="15.75" customHeight="1" s="134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 ht="15.75" customHeight="1" s="134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 ht="15.75" customHeight="1" s="134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 ht="15.75" customHeight="1" s="134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 ht="15.75" customHeight="1" s="134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 ht="15.75" customHeight="1" s="134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 ht="15.75" customHeight="1" s="134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 ht="15.75" customHeight="1" s="134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 ht="15.75" customHeight="1" s="13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 ht="15.75" customHeight="1" s="134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 ht="15.75" customHeight="1" s="134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 ht="15.75" customHeight="1" s="134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 ht="15.75" customHeight="1" s="134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 ht="15.75" customHeight="1" s="134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 ht="15.75" customHeight="1" s="134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 ht="15.75" customHeight="1" s="134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 ht="15.75" customHeight="1" s="134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 ht="15.75" customHeight="1" s="134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 ht="15.75" customHeight="1" s="13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 ht="15.75" customHeight="1" s="134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 ht="15.75" customHeight="1" s="134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 ht="15.75" customHeight="1" s="134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 ht="15.75" customHeight="1" s="134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 ht="15.75" customHeight="1" s="134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 ht="15.75" customHeight="1" s="134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 ht="15.75" customHeight="1" s="134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 ht="15.75" customHeight="1" s="134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 ht="15.75" customHeight="1" s="134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 ht="15.75" customHeight="1" s="13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 ht="15.75" customHeight="1" s="134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 ht="15.75" customHeight="1" s="134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 ht="15.75" customHeight="1" s="134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 ht="15.75" customHeight="1" s="134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 ht="15.75" customHeight="1" s="134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 ht="15.75" customHeight="1" s="134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 ht="15.75" customHeight="1" s="134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 ht="15.75" customHeight="1" s="134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 ht="15.75" customHeight="1" s="134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 ht="15.75" customHeight="1" s="1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 ht="15.75" customHeight="1" s="134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 ht="15.75" customHeight="1" s="134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 ht="15.75" customHeight="1" s="134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 ht="15.75" customHeight="1" s="134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 ht="15.75" customHeight="1" s="134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 ht="15.75" customHeight="1" s="134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 ht="15.75" customHeight="1" s="134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 ht="15.75" customHeight="1" s="134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 ht="15.75" customHeight="1" s="134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 ht="15.75" customHeight="1" s="13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 ht="15.75" customHeight="1" s="134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 ht="15.75" customHeight="1" s="134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 ht="15.75" customHeight="1" s="134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 ht="15.75" customHeight="1" s="134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 ht="15.75" customHeight="1" s="134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 ht="15.75" customHeight="1" s="134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 ht="15.75" customHeight="1" s="134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 ht="15.75" customHeight="1" s="134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 ht="15.75" customHeight="1" s="134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 ht="15.75" customHeight="1" s="13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 ht="15.75" customHeight="1" s="134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 ht="15.75" customHeight="1" s="134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 ht="15.75" customHeight="1" s="134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 ht="15.75" customHeight="1" s="134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 ht="15.75" customHeight="1" s="134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 ht="15.75" customHeight="1" s="134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 ht="15.75" customHeight="1" s="134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 ht="15.75" customHeight="1" s="134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 ht="15.75" customHeight="1" s="134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 ht="15.75" customHeight="1" s="13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 ht="15.75" customHeight="1" s="134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 ht="15.75" customHeight="1" s="134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 ht="15.75" customHeight="1" s="134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 ht="15.75" customHeight="1" s="134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 ht="15.75" customHeight="1" s="134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 ht="15.75" customHeight="1" s="134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 ht="15.75" customHeight="1" s="134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 ht="15.75" customHeight="1" s="134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 ht="15.75" customHeight="1" s="134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 ht="15.75" customHeight="1" s="13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 ht="15.75" customHeight="1" s="134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 ht="15.75" customHeight="1" s="134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 ht="15.75" customHeight="1" s="134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 ht="15.75" customHeight="1" s="134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 ht="15.75" customHeight="1" s="134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 ht="15.75" customHeight="1" s="134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 ht="15.75" customHeight="1" s="134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 ht="15.75" customHeight="1" s="134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 ht="15.75" customHeight="1" s="134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 ht="15.75" customHeight="1" s="13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 ht="15.75" customHeight="1" s="134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</row>
    <row r="986" ht="15.75" customHeight="1" s="134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</row>
    <row r="987" ht="15.75" customHeight="1" s="134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 ht="15.75" customHeight="1" s="134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</row>
    <row r="989" ht="15.75" customHeight="1" s="134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</row>
    <row r="990" ht="15.75" customHeight="1" s="134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 ht="15.75" customHeight="1" s="134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</row>
    <row r="992" ht="15.75" customHeight="1" s="134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</row>
    <row r="993" ht="15.75" customHeight="1" s="134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</row>
    <row r="994" ht="15.75" customHeight="1" s="13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</row>
    <row r="995" ht="15.75" customHeight="1" s="134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</row>
    <row r="996" ht="15.75" customHeight="1" s="134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</row>
    <row r="997" ht="15.75" customHeight="1" s="134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</row>
    <row r="998" ht="15.75" customHeight="1" s="134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</row>
    <row r="999" ht="15.75" customHeight="1" s="134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</row>
    <row r="1000" ht="15.75" customHeight="1" s="134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</row>
  </sheetData>
  <mergeCells count="2">
    <mergeCell ref="A1:I1"/>
    <mergeCell ref="A12:I12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4.43" defaultRowHeight="15" customHeight="1" outlineLevelRow="1"/>
  <cols>
    <col width="46" customWidth="1" style="134" min="1" max="1"/>
    <col width="12" customWidth="1" style="134" min="2" max="9"/>
    <col width="8.710000000000001" customWidth="1" style="134" min="10" max="26"/>
  </cols>
  <sheetData>
    <row r="1">
      <c r="A1" s="3" t="inlineStr">
        <is>
          <t>Операционные драйверы — из YClients-пайплайна дашборда (не из Adesk)</t>
        </is>
      </c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s="9" t="inlineStr">
        <is>
          <t>Метрика</t>
        </is>
      </c>
      <c r="B2" s="9" t="inlineStr">
        <is>
          <t>Январь</t>
        </is>
      </c>
      <c r="C2" s="9" t="inlineStr">
        <is>
          <t>Февраль</t>
        </is>
      </c>
      <c r="D2" s="9" t="inlineStr">
        <is>
          <t>Март</t>
        </is>
      </c>
      <c r="E2" s="9" t="inlineStr">
        <is>
          <t>Апрель</t>
        </is>
      </c>
      <c r="F2" s="9" t="inlineStr">
        <is>
          <t>Май</t>
        </is>
      </c>
      <c r="G2" s="9" t="inlineStr">
        <is>
          <t>Июнь</t>
        </is>
      </c>
      <c r="H2" s="9" t="inlineStr">
        <is>
          <t>Июль</t>
        </is>
      </c>
      <c r="I2" s="9" t="inlineStr">
        <is>
          <t>Август*</t>
        </is>
      </c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5" t="inlineStr">
        <is>
          <t>Клиенты пришедшие (статус «Пришёл»)</t>
        </is>
      </c>
      <c r="B3" s="13" t="n">
        <v>153</v>
      </c>
      <c r="C3" s="13" t="n">
        <v>172</v>
      </c>
      <c r="D3" s="13" t="n">
        <v>218</v>
      </c>
      <c r="E3" s="13" t="n">
        <v>202</v>
      </c>
      <c r="F3" s="13" t="n">
        <v>227</v>
      </c>
      <c r="G3" s="13" t="n">
        <v>211</v>
      </c>
      <c r="H3" s="13" t="n">
        <v>180</v>
      </c>
      <c r="I3" s="13" t="n">
        <v>124</v>
      </c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5" t="inlineStr">
        <is>
          <t>Услуги оказанные (статус «Пришёл»)</t>
        </is>
      </c>
      <c r="B4" s="13" t="n">
        <v>293</v>
      </c>
      <c r="C4" s="13" t="n">
        <v>308</v>
      </c>
      <c r="D4" s="13" t="n">
        <v>378</v>
      </c>
      <c r="E4" s="13" t="n">
        <v>346</v>
      </c>
      <c r="F4" s="13" t="n">
        <v>422</v>
      </c>
      <c r="G4" s="13" t="n">
        <v>428</v>
      </c>
      <c r="H4" s="13" t="n">
        <v>348</v>
      </c>
      <c r="I4" s="13" t="n">
        <v>209</v>
      </c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5" t="inlineStr">
        <is>
          <t>Визиты (все подтверждённые записи, вкл. будущие в открытом месяце)</t>
        </is>
      </c>
      <c r="B5" s="13" t="n">
        <v>219</v>
      </c>
      <c r="C5" s="13" t="n">
        <v>255</v>
      </c>
      <c r="D5" s="13" t="n">
        <v>330</v>
      </c>
      <c r="E5" s="13" t="n">
        <v>304</v>
      </c>
      <c r="F5" s="13" t="n">
        <v>358</v>
      </c>
      <c r="G5" s="16" t="n">
        <v>372</v>
      </c>
      <c r="H5" s="16" t="n">
        <v>273</v>
      </c>
      <c r="I5" s="13" t="n">
        <v>181</v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7" t="inlineStr">
        <is>
          <t>ВЫРУЧКА ОБЩАЯ, ₽</t>
        </is>
      </c>
      <c r="B6" s="18" t="n">
        <v>1435736</v>
      </c>
      <c r="C6" s="18" t="n">
        <v>1581992</v>
      </c>
      <c r="D6" s="18" t="n">
        <v>1948045</v>
      </c>
      <c r="E6" s="18" t="n">
        <v>1909183</v>
      </c>
      <c r="F6" s="18" t="n">
        <v>2829133</v>
      </c>
      <c r="G6" s="18" t="n">
        <v>2341497</v>
      </c>
      <c r="H6" s="18" t="n">
        <v>2259505</v>
      </c>
      <c r="I6" s="18" t="n">
        <v>1203035</v>
      </c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20" t="inlineStr">
        <is>
          <t xml:space="preserve">  в т.ч. Услуги</t>
        </is>
      </c>
      <c r="B7" s="21" t="n">
        <v>1212618</v>
      </c>
      <c r="C7" s="21" t="n">
        <v>1331622</v>
      </c>
      <c r="D7" s="21" t="n">
        <v>1573726</v>
      </c>
      <c r="E7" s="21" t="n">
        <v>1628494</v>
      </c>
      <c r="F7" s="21" t="n">
        <v>2302329</v>
      </c>
      <c r="G7" s="21" t="n">
        <v>1877362</v>
      </c>
      <c r="H7" s="21" t="n">
        <v>1715314</v>
      </c>
      <c r="I7" s="21" t="n">
        <v>982793</v>
      </c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20" t="inlineStr">
        <is>
          <t xml:space="preserve">  в т.ч. Товары (косметика)</t>
        </is>
      </c>
      <c r="B8" s="21" t="n">
        <v>95533</v>
      </c>
      <c r="C8" s="21" t="n">
        <v>106620</v>
      </c>
      <c r="D8" s="21" t="n">
        <v>194119</v>
      </c>
      <c r="E8" s="21" t="n">
        <v>126539</v>
      </c>
      <c r="F8" s="21" t="n">
        <v>210004</v>
      </c>
      <c r="G8" s="21" t="n">
        <v>317235</v>
      </c>
      <c r="H8" s="21" t="n">
        <v>311391</v>
      </c>
      <c r="I8" s="21" t="n">
        <v>146542</v>
      </c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20" t="inlineStr">
        <is>
          <t xml:space="preserve">  в т.ч. Абонементы</t>
        </is>
      </c>
      <c r="B9" s="21" t="n">
        <v>102985</v>
      </c>
      <c r="C9" s="21" t="n">
        <v>102750</v>
      </c>
      <c r="D9" s="21" t="n">
        <v>106700</v>
      </c>
      <c r="E9" s="21" t="n">
        <v>139150</v>
      </c>
      <c r="F9" s="21" t="n">
        <v>41700</v>
      </c>
      <c r="G9" s="21" t="n">
        <v>113400</v>
      </c>
      <c r="H9" s="21" t="n">
        <v>62100</v>
      </c>
      <c r="I9" s="21" t="n">
        <v>66410</v>
      </c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20" t="inlineStr">
        <is>
          <t xml:space="preserve">  в т.ч. Депозиты (пополнения счёта)</t>
        </is>
      </c>
      <c r="B10" s="21" t="n">
        <v>4100</v>
      </c>
      <c r="C10" s="21" t="n">
        <v>41000</v>
      </c>
      <c r="D10" s="21" t="n">
        <v>31500</v>
      </c>
      <c r="E10" s="21" t="n">
        <v>0</v>
      </c>
      <c r="F10" s="21" t="n">
        <v>253100</v>
      </c>
      <c r="G10" s="21" t="n">
        <v>28500</v>
      </c>
      <c r="H10" s="21" t="n">
        <v>145700</v>
      </c>
      <c r="I10" s="21" t="n">
        <v>7290</v>
      </c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20" t="inlineStr">
        <is>
          <t xml:space="preserve">  в т.ч. Сертификаты</t>
        </is>
      </c>
      <c r="B11" s="21" t="n">
        <v>20500</v>
      </c>
      <c r="C11" s="21" t="n">
        <v>0</v>
      </c>
      <c r="D11" s="21" t="n">
        <v>42000</v>
      </c>
      <c r="E11" s="21" t="n">
        <v>15000</v>
      </c>
      <c r="F11" s="21" t="n">
        <v>22000</v>
      </c>
      <c r="G11" s="21" t="n">
        <v>5000</v>
      </c>
      <c r="H11" s="21" t="n">
        <v>25000</v>
      </c>
      <c r="I11" s="21" t="n">
        <v>0</v>
      </c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7" t="inlineStr">
        <is>
          <t>Средний чек по клинике
(выручка общая / визиты)</t>
        </is>
      </c>
      <c r="B12" s="18">
        <f>B6/B5</f>
        <v/>
      </c>
      <c r="C12" s="18">
        <f>C6/C5</f>
        <v/>
      </c>
      <c r="D12" s="18">
        <f>D6/D5</f>
        <v/>
      </c>
      <c r="E12" s="18">
        <f>E6/E5</f>
        <v/>
      </c>
      <c r="F12" s="18">
        <f>F6/F5</f>
        <v/>
      </c>
      <c r="G12" s="18">
        <f>G6/G5</f>
        <v/>
      </c>
      <c r="H12" s="18">
        <f>H6/H5</f>
        <v/>
      </c>
      <c r="I12" s="18">
        <f>I6/I5</f>
        <v/>
      </c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7" t="inlineStr">
        <is>
          <t>Средний чек по услугам
(выручка услуги/ кол-во услуг)</t>
        </is>
      </c>
      <c r="B13" s="18">
        <f>B7/B4</f>
        <v/>
      </c>
      <c r="C13" s="18">
        <f>C7/C4</f>
        <v/>
      </c>
      <c r="D13" s="18">
        <f>D7/D4</f>
        <v/>
      </c>
      <c r="E13" s="18">
        <f>E7/E4</f>
        <v/>
      </c>
      <c r="F13" s="18">
        <f>F7/F4</f>
        <v/>
      </c>
      <c r="G13" s="18">
        <f>G7/G4</f>
        <v/>
      </c>
      <c r="H13" s="18">
        <f>H7/H4</f>
        <v/>
      </c>
      <c r="I13" s="18">
        <f>I7/I4</f>
        <v/>
      </c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7" t="inlineStr">
        <is>
          <t>Средний чек на клиента
(выручка общая/ кол-во уклиентов)</t>
        </is>
      </c>
      <c r="B14" s="18">
        <f>B6/B3</f>
        <v/>
      </c>
      <c r="C14" s="18">
        <f>C6/C3</f>
        <v/>
      </c>
      <c r="D14" s="18">
        <f>D6/D3</f>
        <v/>
      </c>
      <c r="E14" s="18">
        <f>E6/E3</f>
        <v/>
      </c>
      <c r="F14" s="18">
        <f>F6/F3</f>
        <v/>
      </c>
      <c r="G14" s="18">
        <f>G6/G3</f>
        <v/>
      </c>
      <c r="H14" s="18">
        <f>H6/H3</f>
        <v/>
      </c>
      <c r="I14" s="18">
        <f>I6/I3</f>
        <v/>
      </c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inlineStr">
        <is>
          <t>Скидки, ₽</t>
        </is>
      </c>
      <c r="B15" s="21" t="n">
        <v>136195</v>
      </c>
      <c r="C15" s="21" t="n">
        <v>175920</v>
      </c>
      <c r="D15" s="21" t="n">
        <v>301753</v>
      </c>
      <c r="E15" s="21" t="n">
        <v>201196</v>
      </c>
      <c r="F15" s="21" t="n">
        <v>345195</v>
      </c>
      <c r="G15" s="21" t="n">
        <v>365857</v>
      </c>
      <c r="H15" s="21" t="n">
        <v>170476</v>
      </c>
      <c r="I15" s="21" t="n">
        <v>81317</v>
      </c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inlineStr">
        <is>
          <t>Скидки, % от услуг</t>
        </is>
      </c>
      <c r="B16" s="22">
        <f>B15/B7</f>
        <v/>
      </c>
      <c r="C16" s="22">
        <f>C15/C7</f>
        <v/>
      </c>
      <c r="D16" s="22">
        <f>D15/D7</f>
        <v/>
      </c>
      <c r="E16" s="22">
        <f>E15/E7</f>
        <v/>
      </c>
      <c r="F16" s="22">
        <f>F15/F7</f>
        <v/>
      </c>
      <c r="G16" s="22">
        <f>G15/G7</f>
        <v/>
      </c>
      <c r="H16" s="22">
        <f>H15/H7</f>
        <v/>
      </c>
      <c r="I16" s="22">
        <f>I15/I7</f>
        <v/>
      </c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inlineStr">
        <is>
          <t>Потерянные клиенты (&gt;90 дней)</t>
        </is>
      </c>
      <c r="B17" s="13" t="n">
        <v>484</v>
      </c>
      <c r="C17" s="13" t="n">
        <v>518</v>
      </c>
      <c r="D17" s="13" t="n">
        <v>539</v>
      </c>
      <c r="E17" s="13" t="n">
        <v>537</v>
      </c>
      <c r="F17" s="13" t="n">
        <v>565</v>
      </c>
      <c r="G17" s="13" t="n">
        <v>618</v>
      </c>
      <c r="H17" s="13" t="n">
        <v>683</v>
      </c>
      <c r="I17" s="13" t="n">
        <v>740</v>
      </c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23" t="inlineStr">
        <is>
          <t>* Август — партиал месяц (данные по 24.08), включает уже подтверждённые будущие записи в «Визиты», но НЕ в «Клиенты/услуги пришедшие» (эти двое — только фактически отработанные, статус «Пришёл»).</t>
        </is>
      </c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75" customHeight="1" s="134">
      <c r="A21" s="23" t="inlineStr">
        <is>
          <t>Средний чек по услугам считаю так: выручка по услугам (кассовая, «Оказание услуг») / кол-во ПРИШЕДШИХ визитов (не всех подтверждённых). Это точнее, чем делить на все визиты (включая ещё не наступившие) — иначе для текущего месяца средний чек занижается искусственно, пока не все записи отработаны. Вариант «выручка/кол-во услуг» тоже возможен, но тогда мультиуслуговый визит (например чистка+пилинг) размывает чек на единицу услуги, а не показывает, сколько в среднем платит клиент за приход — решила, что по визиту нагляднее.</t>
        </is>
      </c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34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34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3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34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34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34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34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34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34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34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34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34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34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34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34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34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34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34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34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34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34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3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34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34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34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34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34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34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34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34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34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3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34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34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34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34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34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34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34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34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34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3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34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34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34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34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34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34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34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34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34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3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34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34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34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34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34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34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34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34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34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3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34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34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34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34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34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34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34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34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34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3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34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34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34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34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34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34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34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34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34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3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34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34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34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34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34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34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34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34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34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3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34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34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34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3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3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3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3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3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3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3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3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3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3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3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3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3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3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3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3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3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3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3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3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3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3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3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3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3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3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3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3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3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3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3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3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3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3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3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3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3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3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3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3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3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3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3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3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3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3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3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3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3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3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3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3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3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3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3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3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3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3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3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3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3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3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3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3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3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3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3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3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3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3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3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3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3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3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3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3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3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3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3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3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3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3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3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3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3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3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3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3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3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3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3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3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3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3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3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3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3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3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3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3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3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3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3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34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34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3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34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34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34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34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34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34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34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34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34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34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34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34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34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34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34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34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34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34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3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34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34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34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34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34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34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34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34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34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3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34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34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34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34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34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34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34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34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34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3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34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34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34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34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34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34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34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34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34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3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34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34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34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34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34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34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34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34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34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3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34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34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34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34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34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34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34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34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34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3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34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34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34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34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34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34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34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34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34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3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34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34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34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34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34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34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34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34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34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3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34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34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34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34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34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34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34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34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34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3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34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34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34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34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34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34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34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34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34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34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34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34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34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34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34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34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34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34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3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34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34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34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34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34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34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34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34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34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3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34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34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34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34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34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34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34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34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34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3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34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34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34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34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34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34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34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34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34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3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34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34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34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34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34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34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34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34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34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3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34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34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34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34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34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34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34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34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34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3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34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34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34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34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34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34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34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34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34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3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34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34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34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34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34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34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34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34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34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3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34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34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34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34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34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34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34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34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34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3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34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34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34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34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34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34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34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34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34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34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34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34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34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34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34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34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34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34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3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34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34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34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34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34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34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34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34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34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3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34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34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34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34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34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34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34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34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34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3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34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34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34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34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34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34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34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34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34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3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34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34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34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34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34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34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34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34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34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3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34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34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34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34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34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34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34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34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34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3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34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34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34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34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34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34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34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34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34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3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34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34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34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34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34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34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34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34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34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3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34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34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34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34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34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34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34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34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34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3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34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34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34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34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34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34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34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34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34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34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34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34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34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34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34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34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34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34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3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34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34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34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34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34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34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34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34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34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3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34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34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34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34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34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34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34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34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34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3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34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34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34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34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34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34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34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34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34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3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34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34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34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34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34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34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34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34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34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3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34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34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34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34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34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34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34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34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34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3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34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34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34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34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34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34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34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34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34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3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34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34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34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34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34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34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34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34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34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3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34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34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34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34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34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34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34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34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34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3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34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34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34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34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34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34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34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34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34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34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34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34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34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34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34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34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34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34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3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34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34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34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34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34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34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34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34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34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3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34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34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34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34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34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34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34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34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34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3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34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34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34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34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34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34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34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34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34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3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34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34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34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34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34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34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34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34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34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3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34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34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34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34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34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34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34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34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34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3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34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34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34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34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34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34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34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34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34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3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34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34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34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34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34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34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34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34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34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3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34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34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34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34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34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34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34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34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34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3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34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34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34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34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34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34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34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34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34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34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34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34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34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34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34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34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34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34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3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34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34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34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34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34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34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34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34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34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3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34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34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34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34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34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34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34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34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34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3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34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34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34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34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34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34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34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34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34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3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34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34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34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34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34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34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34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34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34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3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34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34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34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34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34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34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34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34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34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3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34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34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34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34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34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34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34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34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34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3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34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34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34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34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34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34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34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34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34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3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34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34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34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34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34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34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34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34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34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3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34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34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34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34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34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34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34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34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34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34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34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34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34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34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34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34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34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34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3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34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34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34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34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34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34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34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34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34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3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34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34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34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34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34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34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34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34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34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3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34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34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34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34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34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34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34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34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34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3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34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34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34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34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34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34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34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34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34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3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34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34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34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34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34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34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34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34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34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3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34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34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34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34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34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34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34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34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34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3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34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34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34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34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34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34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34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34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34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3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34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34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34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34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34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34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34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34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34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3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34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34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34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34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34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34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34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34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34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34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34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34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34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34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34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34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34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34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3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34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34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34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34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34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34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34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34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34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3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34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34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34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34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34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34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34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34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34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3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34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34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34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34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34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34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34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34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34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3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34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34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34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34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34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34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34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34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34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3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34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34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34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34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34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34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34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34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34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3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34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34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34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34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34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34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A1:I1"/>
    <mergeCell ref="A19:I19"/>
    <mergeCell ref="A21:I2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 outlineLevelRow="1"/>
  <cols>
    <col width="23.86" customWidth="1" style="134" min="1" max="1"/>
    <col width="12" customWidth="1" style="134" min="2" max="7"/>
    <col width="10.29" customWidth="1" style="134" min="8" max="8"/>
    <col width="13.86" customWidth="1" style="134" min="9" max="9"/>
    <col width="8.710000000000001" customWidth="1" style="134" min="10" max="26"/>
  </cols>
  <sheetData>
    <row r="1">
      <c r="A1" s="3" t="inlineStr">
        <is>
          <t>Загрузка мастеров июнь-август 2026 — открыто по расписанию / записано / реально пришло vs открытое время</t>
        </is>
      </c>
      <c r="G1" s="5" t="n"/>
      <c r="H1" s="5" t="n"/>
      <c r="I1" s="24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24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9" t="inlineStr">
        <is>
          <t>Мастер</t>
        </is>
      </c>
      <c r="B3" s="9" t="inlineStr">
        <is>
          <t>Месяц</t>
        </is>
      </c>
      <c r="C3" s="9" t="inlineStr">
        <is>
          <t>Открыто, ч</t>
        </is>
      </c>
      <c r="D3" s="9" t="inlineStr">
        <is>
          <t>Записано, ч</t>
        </is>
      </c>
      <c r="E3" s="9" t="inlineStr">
        <is>
          <t>% записано</t>
        </is>
      </c>
      <c r="F3" s="9" t="inlineStr">
        <is>
          <t>Пришло, ч</t>
        </is>
      </c>
      <c r="G3" s="9" t="inlineStr">
        <is>
          <t>% пришло</t>
        </is>
      </c>
      <c r="H3" s="9" t="inlineStr">
        <is>
          <t xml:space="preserve">ср пришло </t>
        </is>
      </c>
      <c r="I3" s="25" t="inlineStr">
        <is>
          <t>разница записалось/пришло</t>
        </is>
      </c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5" t="inlineStr">
        <is>
          <t>Александра</t>
        </is>
      </c>
      <c r="B4" s="5" t="inlineStr">
        <is>
          <t>Июнь</t>
        </is>
      </c>
      <c r="C4" s="26" t="n">
        <v>57.8</v>
      </c>
      <c r="D4" s="26" t="n">
        <v>44.3</v>
      </c>
      <c r="E4" s="22">
        <f>IF(C4=0,"—",D4/C4)</f>
        <v/>
      </c>
      <c r="F4" s="26" t="n">
        <v>40.3</v>
      </c>
      <c r="G4" s="22">
        <f>IF(C4=0,"—",F4/C4)</f>
        <v/>
      </c>
      <c r="H4" s="135">
        <f>AVERAGE(G4:G6)</f>
        <v/>
      </c>
      <c r="I4" s="24">
        <f>F4/D4-1</f>
        <v/>
      </c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5" t="inlineStr">
        <is>
          <t>Александра</t>
        </is>
      </c>
      <c r="B5" s="5" t="inlineStr">
        <is>
          <t>Июль</t>
        </is>
      </c>
      <c r="C5" s="26" t="n">
        <v>41</v>
      </c>
      <c r="D5" s="26" t="n">
        <v>34.2</v>
      </c>
      <c r="E5" s="22">
        <f>IF(C5=0,"—",D5/C5)</f>
        <v/>
      </c>
      <c r="F5" s="26" t="n">
        <v>31.9</v>
      </c>
      <c r="G5" s="22">
        <f>IF(C5=0,"—",F5/C5)</f>
        <v/>
      </c>
      <c r="I5" s="24">
        <f>F5/D5-1</f>
        <v/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31" t="inlineStr">
        <is>
          <t>Александра</t>
        </is>
      </c>
      <c r="B6" s="31" t="inlineStr">
        <is>
          <t>Август*</t>
        </is>
      </c>
      <c r="C6" s="32" t="n">
        <v>36.5</v>
      </c>
      <c r="D6" s="32" t="n">
        <v>34</v>
      </c>
      <c r="E6" s="34">
        <f>IF(C6=0,"—",D6/C6)</f>
        <v/>
      </c>
      <c r="F6" s="32" t="n">
        <v>18.8</v>
      </c>
      <c r="G6" s="34">
        <f>IF(C6=0,"—",F6/C6)</f>
        <v/>
      </c>
      <c r="H6" s="136" t="n"/>
      <c r="I6" s="37">
        <f>F6/D6-1</f>
        <v/>
      </c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38" t="inlineStr">
        <is>
          <t>Эльвира Аминева</t>
        </is>
      </c>
      <c r="B7" s="38" t="inlineStr">
        <is>
          <t>Июнь</t>
        </is>
      </c>
      <c r="C7" s="39" t="n">
        <v>57.7</v>
      </c>
      <c r="D7" s="39" t="n">
        <v>122.9</v>
      </c>
      <c r="E7" s="40">
        <f>IF(C7=0,"—",D7/C7)</f>
        <v/>
      </c>
      <c r="F7" s="39" t="n">
        <v>95.8</v>
      </c>
      <c r="G7" s="40">
        <f>IF(C7=0,"—",F7/C7)</f>
        <v/>
      </c>
      <c r="H7" s="27">
        <f>AVERAGE(G8:G9)</f>
        <v/>
      </c>
      <c r="I7" s="24">
        <f>F7/D7-1</f>
        <v/>
      </c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5" t="inlineStr">
        <is>
          <t>Эльвира Аминева</t>
        </is>
      </c>
      <c r="B8" s="5" t="inlineStr">
        <is>
          <t>Июль</t>
        </is>
      </c>
      <c r="C8" s="26" t="n">
        <v>93.09999999999999</v>
      </c>
      <c r="D8" s="26" t="n">
        <v>86.59999999999999</v>
      </c>
      <c r="E8" s="22">
        <f>IF(C8=0,"—",D8/C8)</f>
        <v/>
      </c>
      <c r="F8" s="26" t="n">
        <v>77</v>
      </c>
      <c r="G8" s="22">
        <f>IF(C8=0,"—",F8/C8)</f>
        <v/>
      </c>
      <c r="I8" s="24">
        <f>F8/D8-1</f>
        <v/>
      </c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5" t="inlineStr">
        <is>
          <t>Эльвира Аминева</t>
        </is>
      </c>
      <c r="B9" s="5" t="inlineStr">
        <is>
          <t>Август*</t>
        </is>
      </c>
      <c r="C9" s="26" t="n">
        <v>76.59999999999999</v>
      </c>
      <c r="D9" s="26" t="n">
        <v>75.90000000000001</v>
      </c>
      <c r="E9" s="22">
        <f>IF(C9=0,"—",D9/C9)</f>
        <v/>
      </c>
      <c r="F9" s="26" t="n">
        <v>51.7</v>
      </c>
      <c r="G9" s="22">
        <f>IF(C9=0,"—",F9/C9)</f>
        <v/>
      </c>
      <c r="I9" s="24">
        <f>F9/D9-1</f>
        <v/>
      </c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42" t="inlineStr">
        <is>
          <t>Анна</t>
        </is>
      </c>
      <c r="B10" s="42" t="inlineStr">
        <is>
          <t>Июнь</t>
        </is>
      </c>
      <c r="C10" s="43" t="n">
        <v>176.2</v>
      </c>
      <c r="D10" s="43" t="n">
        <v>71.59999999999999</v>
      </c>
      <c r="E10" s="44">
        <f>IF(C10=0,"—",D10/C10)</f>
        <v/>
      </c>
      <c r="F10" s="43" t="n">
        <v>51.1</v>
      </c>
      <c r="G10" s="44">
        <f>IF(C10=0,"—",F10/C10)</f>
        <v/>
      </c>
      <c r="H10" s="137">
        <f>AVERAGE(G10:G12)</f>
        <v/>
      </c>
      <c r="I10" s="46">
        <f>F10/D10-1</f>
        <v/>
      </c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5" t="inlineStr">
        <is>
          <t>Анна</t>
        </is>
      </c>
      <c r="B11" s="5" t="inlineStr">
        <is>
          <t>Июль</t>
        </is>
      </c>
      <c r="C11" s="26" t="n">
        <v>157.8</v>
      </c>
      <c r="D11" s="26" t="n">
        <v>41.3</v>
      </c>
      <c r="E11" s="22">
        <f>IF(C11=0,"—",D11/C11)</f>
        <v/>
      </c>
      <c r="F11" s="26" t="n">
        <v>34.8</v>
      </c>
      <c r="G11" s="22">
        <f>IF(C11=0,"—",F11/C11)</f>
        <v/>
      </c>
      <c r="I11" s="24">
        <f>F11/D11-1</f>
        <v/>
      </c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31" t="inlineStr">
        <is>
          <t>Анна</t>
        </is>
      </c>
      <c r="B12" s="31" t="inlineStr">
        <is>
          <t>Август*</t>
        </is>
      </c>
      <c r="C12" s="32" t="n">
        <v>46.8</v>
      </c>
      <c r="D12" s="32" t="n">
        <v>15.5</v>
      </c>
      <c r="E12" s="34">
        <f>IF(C12=0,"—",D12/C12)</f>
        <v/>
      </c>
      <c r="F12" s="32" t="n">
        <v>11.8</v>
      </c>
      <c r="G12" s="34">
        <f>IF(C12=0,"—",F12/C12)</f>
        <v/>
      </c>
      <c r="H12" s="136" t="n"/>
      <c r="I12" s="37">
        <f>F12/D12-1</f>
        <v/>
      </c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5" t="inlineStr">
        <is>
          <t>Влада</t>
        </is>
      </c>
      <c r="B13" s="5" t="inlineStr">
        <is>
          <t>Июнь</t>
        </is>
      </c>
      <c r="C13" s="26" t="n">
        <v>126.5</v>
      </c>
      <c r="D13" s="26" t="n">
        <v>90.8</v>
      </c>
      <c r="E13" s="22">
        <f>IF(C13=0,"—",D13/C13)</f>
        <v/>
      </c>
      <c r="F13" s="26" t="n">
        <v>73.5</v>
      </c>
      <c r="G13" s="22">
        <f>IF(C13=0,"—",F13/C13)</f>
        <v/>
      </c>
      <c r="H13" s="27">
        <f>AVERAGE(G13:G15)</f>
        <v/>
      </c>
      <c r="I13" s="24">
        <f>F13/D13-1</f>
        <v/>
      </c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inlineStr">
        <is>
          <t>Влада</t>
        </is>
      </c>
      <c r="B14" s="5" t="inlineStr">
        <is>
          <t>Июль</t>
        </is>
      </c>
      <c r="C14" s="26" t="n">
        <v>86</v>
      </c>
      <c r="D14" s="26" t="n">
        <v>55</v>
      </c>
      <c r="E14" s="22">
        <f>IF(C14=0,"—",D14/C14)</f>
        <v/>
      </c>
      <c r="F14" s="26" t="n">
        <v>50.2</v>
      </c>
      <c r="G14" s="22">
        <f>IF(C14=0,"—",F14/C14)</f>
        <v/>
      </c>
      <c r="I14" s="24">
        <f>F14/D14-1</f>
        <v/>
      </c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inlineStr">
        <is>
          <t>Влада</t>
        </is>
      </c>
      <c r="B15" s="5" t="inlineStr">
        <is>
          <t>Август*</t>
        </is>
      </c>
      <c r="C15" s="26" t="n">
        <v>111.9</v>
      </c>
      <c r="D15" s="26" t="n">
        <v>74.3</v>
      </c>
      <c r="E15" s="22">
        <f>IF(C15=0,"—",D15/C15)</f>
        <v/>
      </c>
      <c r="F15" s="26" t="n">
        <v>49</v>
      </c>
      <c r="G15" s="22">
        <f>IF(C15=0,"—",F15/C15)</f>
        <v/>
      </c>
      <c r="I15" s="24">
        <f>F15/D15-1</f>
        <v/>
      </c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42" t="inlineStr">
        <is>
          <t>Татьяна</t>
        </is>
      </c>
      <c r="B16" s="42" t="inlineStr">
        <is>
          <t>Июнь</t>
        </is>
      </c>
      <c r="C16" s="43" t="n">
        <v>135.3</v>
      </c>
      <c r="D16" s="43" t="n">
        <v>115.9</v>
      </c>
      <c r="E16" s="44">
        <f>IF(C16=0,"—",D16/C16)</f>
        <v/>
      </c>
      <c r="F16" s="43" t="n">
        <v>99</v>
      </c>
      <c r="G16" s="44">
        <f>IF(C16=0,"—",F16/C16)</f>
        <v/>
      </c>
      <c r="H16" s="137">
        <f>AVERAGE(G16:G18)</f>
        <v/>
      </c>
      <c r="I16" s="46">
        <f>F16/D16-1</f>
        <v/>
      </c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inlineStr">
        <is>
          <t>Татьяна</t>
        </is>
      </c>
      <c r="B17" s="5" t="inlineStr">
        <is>
          <t>Июль</t>
        </is>
      </c>
      <c r="C17" s="26" t="n">
        <v>143</v>
      </c>
      <c r="D17" s="26" t="n">
        <v>113.2</v>
      </c>
      <c r="E17" s="22">
        <f>IF(C17=0,"—",D17/C17)</f>
        <v/>
      </c>
      <c r="F17" s="26" t="n">
        <v>96.09999999999999</v>
      </c>
      <c r="G17" s="22">
        <f>IF(C17=0,"—",F17/C17)</f>
        <v/>
      </c>
      <c r="I17" s="24">
        <f>F17/D17-1</f>
        <v/>
      </c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31" t="inlineStr">
        <is>
          <t>Татьяна</t>
        </is>
      </c>
      <c r="B18" s="31" t="inlineStr">
        <is>
          <t>Август*</t>
        </is>
      </c>
      <c r="C18" s="32" t="n">
        <v>0</v>
      </c>
      <c r="D18" s="32" t="n">
        <v>0</v>
      </c>
      <c r="E18" s="34">
        <f>IF(C18=0,"—",D18/C18)</f>
        <v/>
      </c>
      <c r="F18" s="32" t="n">
        <v>0</v>
      </c>
      <c r="G18" s="34">
        <f>IF(C18=0,"—",F18/C18)</f>
        <v/>
      </c>
      <c r="H18" s="136" t="n"/>
      <c r="I18" s="37">
        <f>F18/D18-1</f>
        <v/>
      </c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24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inlineStr">
        <is>
          <t>Клиника</t>
        </is>
      </c>
      <c r="B20" s="5" t="inlineStr">
        <is>
          <t>Июнь</t>
        </is>
      </c>
      <c r="C20" s="26">
        <f>C4+C7+C10+C13+C16</f>
        <v/>
      </c>
      <c r="D20" s="26">
        <f>D4+D7+D10+D13+D16</f>
        <v/>
      </c>
      <c r="E20" s="22">
        <f>IF(C20=0,"—",D20/C20)</f>
        <v/>
      </c>
      <c r="F20" s="26">
        <f>F4+F7+F10+F13+F16</f>
        <v/>
      </c>
      <c r="G20" s="22">
        <f>IF(C20=0,"—",F20/C20)</f>
        <v/>
      </c>
      <c r="H20" s="135">
        <f>AVERAGE(G20:G22)</f>
        <v/>
      </c>
      <c r="I20" s="24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34">
      <c r="A21" s="5" t="inlineStr">
        <is>
          <t>Клиника</t>
        </is>
      </c>
      <c r="B21" s="5" t="inlineStr">
        <is>
          <t>Июль</t>
        </is>
      </c>
      <c r="C21" s="26">
        <f>C5+C8+C11+C14+C17</f>
        <v/>
      </c>
      <c r="D21" s="26">
        <f>D5+D8+D11+D14+D17</f>
        <v/>
      </c>
      <c r="E21" s="22">
        <f>IF(C21=0,"—",D21/C21)</f>
        <v/>
      </c>
      <c r="F21" s="26">
        <f>F5+F8+F11+F14+F17</f>
        <v/>
      </c>
      <c r="G21" s="22">
        <f>IF(C21=0,"—",F21/C21)</f>
        <v/>
      </c>
      <c r="I21" s="24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34">
      <c r="A22" s="5" t="inlineStr">
        <is>
          <t>Клиника</t>
        </is>
      </c>
      <c r="B22" s="5" t="inlineStr">
        <is>
          <t>Август*</t>
        </is>
      </c>
      <c r="C22" s="26">
        <f>C6+C9+C12+C15+C18</f>
        <v/>
      </c>
      <c r="D22" s="26">
        <f>D6+D9+D12+D15+D18</f>
        <v/>
      </c>
      <c r="E22" s="22">
        <f>IF(C22=0,"—",D22/C22)</f>
        <v/>
      </c>
      <c r="F22" s="26">
        <f>F6+F9+F12+F15+F18</f>
        <v/>
      </c>
      <c r="G22" s="22">
        <f>IF(C22=0,"—",F22/C22)</f>
        <v/>
      </c>
      <c r="H22" s="136" t="n"/>
      <c r="I22" s="24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34">
      <c r="A23" s="5" t="inlineStr">
        <is>
          <t>Клиника без Эльвиры</t>
        </is>
      </c>
      <c r="B23" s="5" t="inlineStr">
        <is>
          <t>Июнь</t>
        </is>
      </c>
      <c r="C23" s="26">
        <f>C4+C10+C13+C16</f>
        <v/>
      </c>
      <c r="D23" s="26">
        <f>D4+D10+D13+D16</f>
        <v/>
      </c>
      <c r="E23" s="22">
        <f>IF(C23=0,"—",D23/C23)</f>
        <v/>
      </c>
      <c r="F23" s="26">
        <f>F4+F10+F13+F16</f>
        <v/>
      </c>
      <c r="G23" s="22">
        <f>IF(C23=0,"—",F23/C23)</f>
        <v/>
      </c>
      <c r="H23" s="135">
        <f>AVERAGE(G23:G25)</f>
        <v/>
      </c>
      <c r="I23" s="24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34">
      <c r="A24" s="5" t="inlineStr">
        <is>
          <t>Клиника без Эльвиры</t>
        </is>
      </c>
      <c r="B24" s="5" t="inlineStr">
        <is>
          <t>Июль</t>
        </is>
      </c>
      <c r="C24" s="26">
        <f>C5+C11+C14+C17</f>
        <v/>
      </c>
      <c r="D24" s="26">
        <f>D5+D11+D14+D17</f>
        <v/>
      </c>
      <c r="E24" s="22">
        <f>IF(C24=0,"—",D24/C24)</f>
        <v/>
      </c>
      <c r="F24" s="26">
        <f>F5+F11+F14+F17</f>
        <v/>
      </c>
      <c r="G24" s="22">
        <f>IF(C24=0,"—",F24/C24)</f>
        <v/>
      </c>
      <c r="I24" s="24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34">
      <c r="A25" s="5" t="inlineStr">
        <is>
          <t>Клиника без Эльвиры</t>
        </is>
      </c>
      <c r="B25" s="5" t="inlineStr">
        <is>
          <t>Август*</t>
        </is>
      </c>
      <c r="C25" s="26">
        <f>C6+C12+C15+C18</f>
        <v/>
      </c>
      <c r="D25" s="26">
        <f>D6+D12+D15+D18</f>
        <v/>
      </c>
      <c r="E25" s="22">
        <f>IF(C25=0,"—",D25/C25)</f>
        <v/>
      </c>
      <c r="F25" s="26">
        <f>F6+F12+F15+F18</f>
        <v/>
      </c>
      <c r="G25" s="22">
        <f>IF(C25=0,"—",F25/C25)</f>
        <v/>
      </c>
      <c r="H25" s="136" t="n"/>
      <c r="I25" s="24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75" customHeight="1" s="134">
      <c r="A26" s="23" t="inlineStr">
        <is>
          <t>* Август — не закрытый месяц. Красным — строки, где «Записано» больше «Открыто» (&gt;100% занятости) — у Эльвиры такое во всех трёх месяцах: её реальный календарь шире, чем отдаёт эндпоинт расписания YClients (вероятно, из-за нестандартного режима работы/дополнительных слотов, не отражённых в стандартном расписании). Это не ошибка расчёта — числовые % для неё не показатель, только татьяна/анна/александра/влада можно сравнивать напрямую.</t>
        </is>
      </c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34">
      <c r="A27" s="5" t="n"/>
      <c r="B27" s="5" t="n"/>
      <c r="C27" s="5" t="n"/>
      <c r="D27" s="5" t="n"/>
      <c r="E27" s="5" t="n"/>
      <c r="F27" s="5" t="n"/>
      <c r="G27" s="5" t="n"/>
      <c r="H27" s="5" t="n"/>
      <c r="I27" s="24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34">
      <c r="A28" s="23" t="inlineStr">
        <is>
          <t>Татьяна — 0 в августе: похоже, в этом месяце её нет в расписании (не работает/на паузе) — стоит уточнить у клиники, не баг пайплайна.</t>
        </is>
      </c>
      <c r="H28" s="5" t="n"/>
      <c r="I28" s="24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34">
      <c r="A29" s="5" t="n"/>
      <c r="B29" s="5" t="n"/>
      <c r="C29" s="5" t="n"/>
      <c r="D29" s="5" t="n"/>
      <c r="E29" s="5" t="n"/>
      <c r="F29" s="5" t="n"/>
      <c r="G29" s="5" t="n"/>
      <c r="H29" s="5" t="n"/>
      <c r="I29" s="24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34">
      <c r="A30" s="5" t="n"/>
      <c r="B30" s="5" t="n"/>
      <c r="C30" s="5" t="n"/>
      <c r="D30" s="5" t="n"/>
      <c r="E30" s="5" t="n"/>
      <c r="F30" s="5" t="n"/>
      <c r="G30" s="5" t="n"/>
      <c r="H30" s="5" t="n"/>
      <c r="I30" s="24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34">
      <c r="A31" s="5" t="n"/>
      <c r="B31" s="5" t="n"/>
      <c r="C31" s="5" t="n"/>
      <c r="D31" s="5" t="n"/>
      <c r="E31" s="5" t="n"/>
      <c r="F31" s="5" t="n"/>
      <c r="G31" s="5" t="n"/>
      <c r="H31" s="5" t="n"/>
      <c r="I31" s="24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34">
      <c r="A32" s="5" t="n"/>
      <c r="B32" s="5" t="n"/>
      <c r="C32" s="5" t="n"/>
      <c r="D32" s="5" t="n"/>
      <c r="E32" s="5" t="n"/>
      <c r="F32" s="5" t="n"/>
      <c r="G32" s="5" t="n"/>
      <c r="H32" s="5" t="n"/>
      <c r="I32" s="24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34">
      <c r="A33" s="5" t="n"/>
      <c r="B33" s="5" t="n"/>
      <c r="C33" s="5" t="n"/>
      <c r="D33" s="5" t="n"/>
      <c r="E33" s="5" t="n"/>
      <c r="F33" s="5" t="n"/>
      <c r="G33" s="5" t="n"/>
      <c r="H33" s="5" t="n"/>
      <c r="I33" s="24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34">
      <c r="A34" s="5" t="n"/>
      <c r="B34" s="5" t="n"/>
      <c r="C34" s="5" t="n"/>
      <c r="D34" s="5" t="n"/>
      <c r="E34" s="5" t="n"/>
      <c r="F34" s="5" t="n"/>
      <c r="G34" s="5" t="n"/>
      <c r="H34" s="5" t="n"/>
      <c r="I34" s="24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34">
      <c r="A35" s="5" t="n"/>
      <c r="B35" s="5" t="n"/>
      <c r="C35" s="5" t="n"/>
      <c r="D35" s="5" t="n"/>
      <c r="E35" s="5" t="n"/>
      <c r="F35" s="5" t="n"/>
      <c r="G35" s="5" t="n"/>
      <c r="H35" s="5" t="n"/>
      <c r="I35" s="24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34">
      <c r="A36" s="5" t="n"/>
      <c r="B36" s="5" t="n"/>
      <c r="C36" s="5" t="n"/>
      <c r="D36" s="5" t="n"/>
      <c r="E36" s="5" t="n"/>
      <c r="F36" s="5" t="n"/>
      <c r="G36" s="5" t="n"/>
      <c r="H36" s="5" t="n"/>
      <c r="I36" s="24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34">
      <c r="A37" s="5" t="n"/>
      <c r="B37" s="5" t="n"/>
      <c r="C37" s="5" t="n"/>
      <c r="D37" s="5" t="n"/>
      <c r="E37" s="5" t="n"/>
      <c r="F37" s="5" t="n"/>
      <c r="G37" s="5" t="n"/>
      <c r="H37" s="5" t="n"/>
      <c r="I37" s="24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34">
      <c r="A38" s="5" t="n"/>
      <c r="B38" s="5" t="n"/>
      <c r="C38" s="5" t="n"/>
      <c r="D38" s="5" t="n"/>
      <c r="E38" s="5" t="n"/>
      <c r="F38" s="5" t="n"/>
      <c r="G38" s="5" t="n"/>
      <c r="H38" s="5" t="n"/>
      <c r="I38" s="24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34">
      <c r="A39" s="5" t="n"/>
      <c r="B39" s="5" t="n"/>
      <c r="C39" s="5" t="n"/>
      <c r="D39" s="5" t="n"/>
      <c r="E39" s="5" t="n"/>
      <c r="F39" s="5" t="n"/>
      <c r="G39" s="5" t="n"/>
      <c r="H39" s="5" t="n"/>
      <c r="I39" s="24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34">
      <c r="A40" s="5" t="n"/>
      <c r="B40" s="5" t="n"/>
      <c r="C40" s="5" t="n"/>
      <c r="D40" s="5" t="n"/>
      <c r="E40" s="5" t="n"/>
      <c r="F40" s="5" t="n"/>
      <c r="G40" s="5" t="n"/>
      <c r="H40" s="5" t="n"/>
      <c r="I40" s="24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34">
      <c r="A41" s="5" t="n"/>
      <c r="B41" s="5" t="n"/>
      <c r="C41" s="5" t="n"/>
      <c r="D41" s="5" t="n"/>
      <c r="E41" s="5" t="n"/>
      <c r="F41" s="5" t="n"/>
      <c r="G41" s="5" t="n"/>
      <c r="H41" s="5" t="n"/>
      <c r="I41" s="24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34">
      <c r="A42" s="5" t="n"/>
      <c r="B42" s="5" t="n"/>
      <c r="C42" s="5" t="n"/>
      <c r="D42" s="5" t="n"/>
      <c r="E42" s="5" t="n"/>
      <c r="F42" s="5" t="n"/>
      <c r="G42" s="5" t="n"/>
      <c r="H42" s="5" t="n"/>
      <c r="I42" s="24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34">
      <c r="A43" s="5" t="n"/>
      <c r="B43" s="5" t="n"/>
      <c r="C43" s="5" t="n"/>
      <c r="D43" s="5" t="n"/>
      <c r="E43" s="5" t="n"/>
      <c r="F43" s="5" t="n"/>
      <c r="G43" s="5" t="n"/>
      <c r="H43" s="5" t="n"/>
      <c r="I43" s="24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34">
      <c r="A44" s="5" t="n"/>
      <c r="B44" s="5" t="n"/>
      <c r="C44" s="5" t="n"/>
      <c r="D44" s="5" t="n"/>
      <c r="E44" s="5" t="n"/>
      <c r="F44" s="5" t="n"/>
      <c r="G44" s="5" t="n"/>
      <c r="H44" s="5" t="n"/>
      <c r="I44" s="24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34">
      <c r="A45" s="5" t="n"/>
      <c r="B45" s="5" t="n"/>
      <c r="C45" s="5" t="n"/>
      <c r="D45" s="5" t="n"/>
      <c r="E45" s="5" t="n"/>
      <c r="F45" s="5" t="n"/>
      <c r="G45" s="5" t="n"/>
      <c r="H45" s="5" t="n"/>
      <c r="I45" s="24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34">
      <c r="A46" s="5" t="n"/>
      <c r="B46" s="5" t="n"/>
      <c r="C46" s="5" t="n"/>
      <c r="D46" s="5" t="n"/>
      <c r="E46" s="5" t="n"/>
      <c r="F46" s="5" t="n"/>
      <c r="G46" s="5" t="n"/>
      <c r="H46" s="5" t="n"/>
      <c r="I46" s="24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34">
      <c r="A47" s="5" t="n"/>
      <c r="B47" s="5" t="n"/>
      <c r="C47" s="5" t="n"/>
      <c r="D47" s="5" t="n"/>
      <c r="E47" s="5" t="n"/>
      <c r="F47" s="5" t="n"/>
      <c r="G47" s="5" t="n"/>
      <c r="H47" s="5" t="n"/>
      <c r="I47" s="24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34">
      <c r="A48" s="5" t="n"/>
      <c r="B48" s="5" t="n"/>
      <c r="C48" s="5" t="n"/>
      <c r="D48" s="5" t="n"/>
      <c r="E48" s="5" t="n"/>
      <c r="F48" s="5" t="n"/>
      <c r="G48" s="5" t="n"/>
      <c r="H48" s="5" t="n"/>
      <c r="I48" s="24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34">
      <c r="A49" s="5" t="n"/>
      <c r="B49" s="5" t="n"/>
      <c r="C49" s="5" t="n"/>
      <c r="D49" s="5" t="n"/>
      <c r="E49" s="5" t="n"/>
      <c r="F49" s="5" t="n"/>
      <c r="G49" s="5" t="n"/>
      <c r="H49" s="5" t="n"/>
      <c r="I49" s="24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34">
      <c r="A50" s="5" t="n"/>
      <c r="B50" s="5" t="n"/>
      <c r="C50" s="5" t="n"/>
      <c r="D50" s="5" t="n"/>
      <c r="E50" s="5" t="n"/>
      <c r="F50" s="5" t="n"/>
      <c r="G50" s="5" t="n"/>
      <c r="H50" s="5" t="n"/>
      <c r="I50" s="24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34">
      <c r="A51" s="5" t="n"/>
      <c r="B51" s="5" t="n"/>
      <c r="C51" s="5" t="n"/>
      <c r="D51" s="5" t="n"/>
      <c r="E51" s="5" t="n"/>
      <c r="F51" s="5" t="n"/>
      <c r="G51" s="5" t="n"/>
      <c r="H51" s="5" t="n"/>
      <c r="I51" s="24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34">
      <c r="A52" s="5" t="n"/>
      <c r="B52" s="5" t="n"/>
      <c r="C52" s="5" t="n"/>
      <c r="D52" s="5" t="n"/>
      <c r="E52" s="5" t="n"/>
      <c r="F52" s="5" t="n"/>
      <c r="G52" s="5" t="n"/>
      <c r="H52" s="5" t="n"/>
      <c r="I52" s="24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34">
      <c r="A53" s="5" t="n"/>
      <c r="B53" s="5" t="n"/>
      <c r="C53" s="5" t="n"/>
      <c r="D53" s="5" t="n"/>
      <c r="E53" s="5" t="n"/>
      <c r="F53" s="5" t="n"/>
      <c r="G53" s="5" t="n"/>
      <c r="H53" s="5" t="n"/>
      <c r="I53" s="24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34">
      <c r="A54" s="5" t="n"/>
      <c r="B54" s="5" t="n"/>
      <c r="C54" s="5" t="n"/>
      <c r="D54" s="5" t="n"/>
      <c r="E54" s="5" t="n"/>
      <c r="F54" s="5" t="n"/>
      <c r="G54" s="5" t="n"/>
      <c r="H54" s="5" t="n"/>
      <c r="I54" s="24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34">
      <c r="A55" s="5" t="n"/>
      <c r="B55" s="5" t="n"/>
      <c r="C55" s="5" t="n"/>
      <c r="D55" s="5" t="n"/>
      <c r="E55" s="5" t="n"/>
      <c r="F55" s="5" t="n"/>
      <c r="G55" s="5" t="n"/>
      <c r="H55" s="5" t="n"/>
      <c r="I55" s="24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34">
      <c r="A56" s="5" t="n"/>
      <c r="B56" s="5" t="n"/>
      <c r="C56" s="5" t="n"/>
      <c r="D56" s="5" t="n"/>
      <c r="E56" s="5" t="n"/>
      <c r="F56" s="5" t="n"/>
      <c r="G56" s="5" t="n"/>
      <c r="H56" s="5" t="n"/>
      <c r="I56" s="24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34">
      <c r="A57" s="5" t="n"/>
      <c r="B57" s="5" t="n"/>
      <c r="C57" s="5" t="n"/>
      <c r="D57" s="5" t="n"/>
      <c r="E57" s="5" t="n"/>
      <c r="F57" s="5" t="n"/>
      <c r="G57" s="5" t="n"/>
      <c r="H57" s="5" t="n"/>
      <c r="I57" s="24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34">
      <c r="A58" s="5" t="n"/>
      <c r="B58" s="5" t="n"/>
      <c r="C58" s="5" t="n"/>
      <c r="D58" s="5" t="n"/>
      <c r="E58" s="5" t="n"/>
      <c r="F58" s="5" t="n"/>
      <c r="G58" s="5" t="n"/>
      <c r="H58" s="5" t="n"/>
      <c r="I58" s="24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34">
      <c r="A59" s="5" t="n"/>
      <c r="B59" s="5" t="n"/>
      <c r="C59" s="5" t="n"/>
      <c r="D59" s="5" t="n"/>
      <c r="E59" s="5" t="n"/>
      <c r="F59" s="5" t="n"/>
      <c r="G59" s="5" t="n"/>
      <c r="H59" s="5" t="n"/>
      <c r="I59" s="24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34">
      <c r="A60" s="5" t="n"/>
      <c r="B60" s="5" t="n"/>
      <c r="C60" s="5" t="n"/>
      <c r="D60" s="5" t="n"/>
      <c r="E60" s="5" t="n"/>
      <c r="F60" s="5" t="n"/>
      <c r="G60" s="5" t="n"/>
      <c r="H60" s="5" t="n"/>
      <c r="I60" s="24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34">
      <c r="A61" s="5" t="n"/>
      <c r="B61" s="5" t="n"/>
      <c r="C61" s="5" t="n"/>
      <c r="D61" s="5" t="n"/>
      <c r="E61" s="5" t="n"/>
      <c r="F61" s="5" t="n"/>
      <c r="G61" s="5" t="n"/>
      <c r="H61" s="5" t="n"/>
      <c r="I61" s="24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34">
      <c r="A62" s="5" t="n"/>
      <c r="B62" s="5" t="n"/>
      <c r="C62" s="5" t="n"/>
      <c r="D62" s="5" t="n"/>
      <c r="E62" s="5" t="n"/>
      <c r="F62" s="5" t="n"/>
      <c r="G62" s="5" t="n"/>
      <c r="H62" s="5" t="n"/>
      <c r="I62" s="24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34">
      <c r="A63" s="5" t="n"/>
      <c r="B63" s="5" t="n"/>
      <c r="C63" s="5" t="n"/>
      <c r="D63" s="5" t="n"/>
      <c r="E63" s="5" t="n"/>
      <c r="F63" s="5" t="n"/>
      <c r="G63" s="5" t="n"/>
      <c r="H63" s="5" t="n"/>
      <c r="I63" s="24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34">
      <c r="A64" s="5" t="n"/>
      <c r="B64" s="5" t="n"/>
      <c r="C64" s="5" t="n"/>
      <c r="D64" s="5" t="n"/>
      <c r="E64" s="5" t="n"/>
      <c r="F64" s="5" t="n"/>
      <c r="G64" s="5" t="n"/>
      <c r="H64" s="5" t="n"/>
      <c r="I64" s="24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34">
      <c r="A65" s="5" t="n"/>
      <c r="B65" s="5" t="n"/>
      <c r="C65" s="5" t="n"/>
      <c r="D65" s="5" t="n"/>
      <c r="E65" s="5" t="n"/>
      <c r="F65" s="5" t="n"/>
      <c r="G65" s="5" t="n"/>
      <c r="H65" s="5" t="n"/>
      <c r="I65" s="24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34">
      <c r="A66" s="5" t="n"/>
      <c r="B66" s="5" t="n"/>
      <c r="C66" s="5" t="n"/>
      <c r="D66" s="5" t="n"/>
      <c r="E66" s="5" t="n"/>
      <c r="F66" s="5" t="n"/>
      <c r="G66" s="5" t="n"/>
      <c r="H66" s="5" t="n"/>
      <c r="I66" s="24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34">
      <c r="A67" s="5" t="n"/>
      <c r="B67" s="5" t="n"/>
      <c r="C67" s="5" t="n"/>
      <c r="D67" s="5" t="n"/>
      <c r="E67" s="5" t="n"/>
      <c r="F67" s="5" t="n"/>
      <c r="G67" s="5" t="n"/>
      <c r="H67" s="5" t="n"/>
      <c r="I67" s="24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34">
      <c r="A68" s="5" t="n"/>
      <c r="B68" s="5" t="n"/>
      <c r="C68" s="5" t="n"/>
      <c r="D68" s="5" t="n"/>
      <c r="E68" s="5" t="n"/>
      <c r="F68" s="5" t="n"/>
      <c r="G68" s="5" t="n"/>
      <c r="H68" s="5" t="n"/>
      <c r="I68" s="24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34">
      <c r="A69" s="5" t="n"/>
      <c r="B69" s="5" t="n"/>
      <c r="C69" s="5" t="n"/>
      <c r="D69" s="5" t="n"/>
      <c r="E69" s="5" t="n"/>
      <c r="F69" s="5" t="n"/>
      <c r="G69" s="5" t="n"/>
      <c r="H69" s="5" t="n"/>
      <c r="I69" s="24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34">
      <c r="A70" s="5" t="n"/>
      <c r="B70" s="5" t="n"/>
      <c r="C70" s="5" t="n"/>
      <c r="D70" s="5" t="n"/>
      <c r="E70" s="5" t="n"/>
      <c r="F70" s="5" t="n"/>
      <c r="G70" s="5" t="n"/>
      <c r="H70" s="5" t="n"/>
      <c r="I70" s="24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34">
      <c r="A71" s="5" t="n"/>
      <c r="B71" s="5" t="n"/>
      <c r="C71" s="5" t="n"/>
      <c r="D71" s="5" t="n"/>
      <c r="E71" s="5" t="n"/>
      <c r="F71" s="5" t="n"/>
      <c r="G71" s="5" t="n"/>
      <c r="H71" s="5" t="n"/>
      <c r="I71" s="24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34">
      <c r="A72" s="5" t="n"/>
      <c r="B72" s="5" t="n"/>
      <c r="C72" s="5" t="n"/>
      <c r="D72" s="5" t="n"/>
      <c r="E72" s="5" t="n"/>
      <c r="F72" s="5" t="n"/>
      <c r="G72" s="5" t="n"/>
      <c r="H72" s="5" t="n"/>
      <c r="I72" s="24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34">
      <c r="A73" s="5" t="n"/>
      <c r="B73" s="5" t="n"/>
      <c r="C73" s="5" t="n"/>
      <c r="D73" s="5" t="n"/>
      <c r="E73" s="5" t="n"/>
      <c r="F73" s="5" t="n"/>
      <c r="G73" s="5" t="n"/>
      <c r="H73" s="5" t="n"/>
      <c r="I73" s="24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34">
      <c r="A74" s="5" t="n"/>
      <c r="B74" s="5" t="n"/>
      <c r="C74" s="5" t="n"/>
      <c r="D74" s="5" t="n"/>
      <c r="E74" s="5" t="n"/>
      <c r="F74" s="5" t="n"/>
      <c r="G74" s="5" t="n"/>
      <c r="H74" s="5" t="n"/>
      <c r="I74" s="24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34">
      <c r="A75" s="5" t="n"/>
      <c r="B75" s="5" t="n"/>
      <c r="C75" s="5" t="n"/>
      <c r="D75" s="5" t="n"/>
      <c r="E75" s="5" t="n"/>
      <c r="F75" s="5" t="n"/>
      <c r="G75" s="5" t="n"/>
      <c r="H75" s="5" t="n"/>
      <c r="I75" s="24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34">
      <c r="A76" s="5" t="n"/>
      <c r="B76" s="5" t="n"/>
      <c r="C76" s="5" t="n"/>
      <c r="D76" s="5" t="n"/>
      <c r="E76" s="5" t="n"/>
      <c r="F76" s="5" t="n"/>
      <c r="G76" s="5" t="n"/>
      <c r="H76" s="5" t="n"/>
      <c r="I76" s="24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34">
      <c r="A77" s="5" t="n"/>
      <c r="B77" s="5" t="n"/>
      <c r="C77" s="5" t="n"/>
      <c r="D77" s="5" t="n"/>
      <c r="E77" s="5" t="n"/>
      <c r="F77" s="5" t="n"/>
      <c r="G77" s="5" t="n"/>
      <c r="H77" s="5" t="n"/>
      <c r="I77" s="24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34">
      <c r="A78" s="5" t="n"/>
      <c r="B78" s="5" t="n"/>
      <c r="C78" s="5" t="n"/>
      <c r="D78" s="5" t="n"/>
      <c r="E78" s="5" t="n"/>
      <c r="F78" s="5" t="n"/>
      <c r="G78" s="5" t="n"/>
      <c r="H78" s="5" t="n"/>
      <c r="I78" s="24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34">
      <c r="A79" s="5" t="n"/>
      <c r="B79" s="5" t="n"/>
      <c r="C79" s="5" t="n"/>
      <c r="D79" s="5" t="n"/>
      <c r="E79" s="5" t="n"/>
      <c r="F79" s="5" t="n"/>
      <c r="G79" s="5" t="n"/>
      <c r="H79" s="5" t="n"/>
      <c r="I79" s="24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34">
      <c r="A80" s="5" t="n"/>
      <c r="B80" s="5" t="n"/>
      <c r="C80" s="5" t="n"/>
      <c r="D80" s="5" t="n"/>
      <c r="E80" s="5" t="n"/>
      <c r="F80" s="5" t="n"/>
      <c r="G80" s="5" t="n"/>
      <c r="H80" s="5" t="n"/>
      <c r="I80" s="24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34">
      <c r="A81" s="5" t="n"/>
      <c r="B81" s="5" t="n"/>
      <c r="C81" s="5" t="n"/>
      <c r="D81" s="5" t="n"/>
      <c r="E81" s="5" t="n"/>
      <c r="F81" s="5" t="n"/>
      <c r="G81" s="5" t="n"/>
      <c r="H81" s="5" t="n"/>
      <c r="I81" s="24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34">
      <c r="A82" s="5" t="n"/>
      <c r="B82" s="5" t="n"/>
      <c r="C82" s="5" t="n"/>
      <c r="D82" s="5" t="n"/>
      <c r="E82" s="5" t="n"/>
      <c r="F82" s="5" t="n"/>
      <c r="G82" s="5" t="n"/>
      <c r="H82" s="5" t="n"/>
      <c r="I82" s="24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34">
      <c r="A83" s="5" t="n"/>
      <c r="B83" s="5" t="n"/>
      <c r="C83" s="5" t="n"/>
      <c r="D83" s="5" t="n"/>
      <c r="E83" s="5" t="n"/>
      <c r="F83" s="5" t="n"/>
      <c r="G83" s="5" t="n"/>
      <c r="H83" s="5" t="n"/>
      <c r="I83" s="24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34">
      <c r="A84" s="5" t="n"/>
      <c r="B84" s="5" t="n"/>
      <c r="C84" s="5" t="n"/>
      <c r="D84" s="5" t="n"/>
      <c r="E84" s="5" t="n"/>
      <c r="F84" s="5" t="n"/>
      <c r="G84" s="5" t="n"/>
      <c r="H84" s="5" t="n"/>
      <c r="I84" s="24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34">
      <c r="A85" s="5" t="n"/>
      <c r="B85" s="5" t="n"/>
      <c r="C85" s="5" t="n"/>
      <c r="D85" s="5" t="n"/>
      <c r="E85" s="5" t="n"/>
      <c r="F85" s="5" t="n"/>
      <c r="G85" s="5" t="n"/>
      <c r="H85" s="5" t="n"/>
      <c r="I85" s="24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34">
      <c r="A86" s="5" t="n"/>
      <c r="B86" s="5" t="n"/>
      <c r="C86" s="5" t="n"/>
      <c r="D86" s="5" t="n"/>
      <c r="E86" s="5" t="n"/>
      <c r="F86" s="5" t="n"/>
      <c r="G86" s="5" t="n"/>
      <c r="H86" s="5" t="n"/>
      <c r="I86" s="24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34">
      <c r="A87" s="5" t="n"/>
      <c r="B87" s="5" t="n"/>
      <c r="C87" s="5" t="n"/>
      <c r="D87" s="5" t="n"/>
      <c r="E87" s="5" t="n"/>
      <c r="F87" s="5" t="n"/>
      <c r="G87" s="5" t="n"/>
      <c r="H87" s="5" t="n"/>
      <c r="I87" s="24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34">
      <c r="A88" s="5" t="n"/>
      <c r="B88" s="5" t="n"/>
      <c r="C88" s="5" t="n"/>
      <c r="D88" s="5" t="n"/>
      <c r="E88" s="5" t="n"/>
      <c r="F88" s="5" t="n"/>
      <c r="G88" s="5" t="n"/>
      <c r="H88" s="5" t="n"/>
      <c r="I88" s="24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34">
      <c r="A89" s="5" t="n"/>
      <c r="B89" s="5" t="n"/>
      <c r="C89" s="5" t="n"/>
      <c r="D89" s="5" t="n"/>
      <c r="E89" s="5" t="n"/>
      <c r="F89" s="5" t="n"/>
      <c r="G89" s="5" t="n"/>
      <c r="H89" s="5" t="n"/>
      <c r="I89" s="24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34">
      <c r="A90" s="5" t="n"/>
      <c r="B90" s="5" t="n"/>
      <c r="C90" s="5" t="n"/>
      <c r="D90" s="5" t="n"/>
      <c r="E90" s="5" t="n"/>
      <c r="F90" s="5" t="n"/>
      <c r="G90" s="5" t="n"/>
      <c r="H90" s="5" t="n"/>
      <c r="I90" s="24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34">
      <c r="A91" s="5" t="n"/>
      <c r="B91" s="5" t="n"/>
      <c r="C91" s="5" t="n"/>
      <c r="D91" s="5" t="n"/>
      <c r="E91" s="5" t="n"/>
      <c r="F91" s="5" t="n"/>
      <c r="G91" s="5" t="n"/>
      <c r="H91" s="5" t="n"/>
      <c r="I91" s="24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34">
      <c r="A92" s="5" t="n"/>
      <c r="B92" s="5" t="n"/>
      <c r="C92" s="5" t="n"/>
      <c r="D92" s="5" t="n"/>
      <c r="E92" s="5" t="n"/>
      <c r="F92" s="5" t="n"/>
      <c r="G92" s="5" t="n"/>
      <c r="H92" s="5" t="n"/>
      <c r="I92" s="24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34">
      <c r="A93" s="5" t="n"/>
      <c r="B93" s="5" t="n"/>
      <c r="C93" s="5" t="n"/>
      <c r="D93" s="5" t="n"/>
      <c r="E93" s="5" t="n"/>
      <c r="F93" s="5" t="n"/>
      <c r="G93" s="5" t="n"/>
      <c r="H93" s="5" t="n"/>
      <c r="I93" s="24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34">
      <c r="A94" s="5" t="n"/>
      <c r="B94" s="5" t="n"/>
      <c r="C94" s="5" t="n"/>
      <c r="D94" s="5" t="n"/>
      <c r="E94" s="5" t="n"/>
      <c r="F94" s="5" t="n"/>
      <c r="G94" s="5" t="n"/>
      <c r="H94" s="5" t="n"/>
      <c r="I94" s="24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34">
      <c r="A95" s="5" t="n"/>
      <c r="B95" s="5" t="n"/>
      <c r="C95" s="5" t="n"/>
      <c r="D95" s="5" t="n"/>
      <c r="E95" s="5" t="n"/>
      <c r="F95" s="5" t="n"/>
      <c r="G95" s="5" t="n"/>
      <c r="H95" s="5" t="n"/>
      <c r="I95" s="24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34">
      <c r="A96" s="5" t="n"/>
      <c r="B96" s="5" t="n"/>
      <c r="C96" s="5" t="n"/>
      <c r="D96" s="5" t="n"/>
      <c r="E96" s="5" t="n"/>
      <c r="F96" s="5" t="n"/>
      <c r="G96" s="5" t="n"/>
      <c r="H96" s="5" t="n"/>
      <c r="I96" s="24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34">
      <c r="A97" s="5" t="n"/>
      <c r="B97" s="5" t="n"/>
      <c r="C97" s="5" t="n"/>
      <c r="D97" s="5" t="n"/>
      <c r="E97" s="5" t="n"/>
      <c r="F97" s="5" t="n"/>
      <c r="G97" s="5" t="n"/>
      <c r="H97" s="5" t="n"/>
      <c r="I97" s="24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34">
      <c r="A98" s="5" t="n"/>
      <c r="B98" s="5" t="n"/>
      <c r="C98" s="5" t="n"/>
      <c r="D98" s="5" t="n"/>
      <c r="E98" s="5" t="n"/>
      <c r="F98" s="5" t="n"/>
      <c r="G98" s="5" t="n"/>
      <c r="H98" s="5" t="n"/>
      <c r="I98" s="24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34">
      <c r="A99" s="5" t="n"/>
      <c r="B99" s="5" t="n"/>
      <c r="C99" s="5" t="n"/>
      <c r="D99" s="5" t="n"/>
      <c r="E99" s="5" t="n"/>
      <c r="F99" s="5" t="n"/>
      <c r="G99" s="5" t="n"/>
      <c r="H99" s="5" t="n"/>
      <c r="I99" s="24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34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24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34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24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34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24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34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24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3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24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34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24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34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24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34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24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34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24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34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24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34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24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34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24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34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24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34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24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3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24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34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24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34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24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34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24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3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24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3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24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3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24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3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24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3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24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3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24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3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24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3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24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3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24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3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24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3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24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3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24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3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24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3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24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3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24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3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24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24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3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24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3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24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3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24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3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24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3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24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3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24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3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24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3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24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3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24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3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24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3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24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3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24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3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24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3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24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3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24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3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24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3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24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3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24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3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24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3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24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3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24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3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24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3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24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3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24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3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24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3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24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3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24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3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24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3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24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3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24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3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24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3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24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3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24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3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24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3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24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3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24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3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24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3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24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3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24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3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24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3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24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3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24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3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24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3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24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3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24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3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24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3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24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3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24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3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24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3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24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3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24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3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24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3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24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3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24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3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24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3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24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3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24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3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24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3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24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3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24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3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24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3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24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3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24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3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24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3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24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3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24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3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24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3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24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3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24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3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24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3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24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3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24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3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24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3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24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3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24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3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24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3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24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3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24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3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24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3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24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3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24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3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24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3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24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3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24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3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24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3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24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3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24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3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24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3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24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3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24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3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24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3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24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3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24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3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24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34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34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34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34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34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34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34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34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34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34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34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34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34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34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3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34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34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34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34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34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34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34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34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34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3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34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34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34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34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34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34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34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34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34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3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34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34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34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34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34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34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34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34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34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3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34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34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34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34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34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34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34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34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34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3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34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34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34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34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34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34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34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34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34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3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34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34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34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34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34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34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34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34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34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3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34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34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34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34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34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34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34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34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34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3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34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34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34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34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34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34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34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34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34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3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34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34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34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34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34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34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34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34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34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34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34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34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34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34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34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34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34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34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3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34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34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34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34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34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34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34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34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34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3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34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34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34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34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34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34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34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34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34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3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34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34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34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34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34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34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34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34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34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3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34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34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34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34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34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34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34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34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34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3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34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34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34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34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34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34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34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34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34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3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34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34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34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34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34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34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34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34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34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3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34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34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34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34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34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34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34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34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34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3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34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34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34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34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34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34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34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34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34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3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34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34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34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34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34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34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34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34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34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34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34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34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34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34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34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34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34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34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3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34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34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34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34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34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34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34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34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34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3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34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34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34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34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34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34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34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34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34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3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34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34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34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34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34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34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34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34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34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3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34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34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34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34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34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34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34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34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34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3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34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34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34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34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34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34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34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34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34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3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34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34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34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34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34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34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34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34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34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3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34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34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34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34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34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34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34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34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34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3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34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34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34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34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34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34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34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34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34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3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34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34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34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34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34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34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34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34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34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34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34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34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34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34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34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34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34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34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3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34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34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34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34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34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34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34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34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34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3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34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34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34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34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34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34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34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34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34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3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34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34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34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34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34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34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34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34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34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3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34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34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34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34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34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34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34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34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34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3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34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34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34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34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34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34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34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34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34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3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34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34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34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34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34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34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34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34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34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3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34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34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34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34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34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34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34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34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34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3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34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34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34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34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34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34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34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34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34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3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34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34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34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34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34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34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34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34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34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34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34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34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34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34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34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34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34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34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3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34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34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34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34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34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34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34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34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34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3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34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34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34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34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34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34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34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34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34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3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34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34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34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34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34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34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34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34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34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3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34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34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34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34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34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34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34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34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34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3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34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34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34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34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34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34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34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34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34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3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34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34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34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34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34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34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34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34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34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3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34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34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34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34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34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34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34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34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34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3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34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34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34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34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34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34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34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34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34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3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34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34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34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34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34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34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34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34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34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34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34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34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34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34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34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34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34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34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3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34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34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34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34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34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34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34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34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34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3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34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34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34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34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34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34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34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34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34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3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34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34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34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34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34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34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34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34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34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3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34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34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34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34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34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34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34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34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34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3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34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34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34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34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34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34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34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34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34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3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34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34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34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34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34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34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34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34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34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3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34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34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34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34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34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34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34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34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34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3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34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34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34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34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34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34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34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34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34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3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34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34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34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34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34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34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34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34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34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34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34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34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34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34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34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34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34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34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3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34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34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34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34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34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34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34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34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34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3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34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34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34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34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34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34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34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34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34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3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34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34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34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34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34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34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34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34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34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3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34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34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34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34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34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34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34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34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34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3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34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34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34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34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34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34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34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34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34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3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34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34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34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34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34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34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34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34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34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3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34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34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34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34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34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34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34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34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34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3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34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34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34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34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34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34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34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34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34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3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34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34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34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34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34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34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34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34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34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34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34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34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34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34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34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34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34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34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3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34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34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34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34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34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34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34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34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34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3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34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34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34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34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34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34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34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34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34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3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34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34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34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34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34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34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34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34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34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3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34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34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34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34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34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34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34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34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34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3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34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34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34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34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34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34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34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34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34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3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34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34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34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34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34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34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0">
    <mergeCell ref="H4:H6"/>
    <mergeCell ref="H7:H9"/>
    <mergeCell ref="H20:H22"/>
    <mergeCell ref="A1:F1"/>
    <mergeCell ref="H16:H18"/>
    <mergeCell ref="H10:H12"/>
    <mergeCell ref="H13:H15"/>
    <mergeCell ref="H23:H25"/>
    <mergeCell ref="A26:I26"/>
    <mergeCell ref="A28:G28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 outlineLevelRow="1"/>
  <cols>
    <col width="42" customWidth="1" style="134" min="1" max="1"/>
    <col width="16" customWidth="1" style="134" min="2" max="7"/>
    <col width="8.710000000000001" customWidth="1" style="134" min="8" max="26"/>
  </cols>
  <sheetData>
    <row r="1">
      <c r="A1" s="28" t="inlineStr">
        <is>
          <t>Ёмкость клиники — физический потолок и запас под план роста</t>
        </is>
      </c>
      <c r="G1" s="66" t="n"/>
      <c r="H1" s="66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>
      <c r="A2" s="66" t="n"/>
      <c r="B2" s="66" t="n"/>
      <c r="C2" s="66" t="n"/>
      <c r="D2" s="66" t="n"/>
      <c r="E2" s="66" t="n"/>
      <c r="F2" s="66" t="n"/>
      <c r="G2" s="66" t="n"/>
      <c r="H2" s="66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>
      <c r="A3" s="33" t="inlineStr">
        <is>
          <t>Параметры (жёлтые — можно менять)</t>
        </is>
      </c>
      <c r="B3" s="66" t="n"/>
      <c r="C3" s="66" t="n"/>
      <c r="D3" s="66" t="n"/>
      <c r="E3" s="66" t="n"/>
      <c r="F3" s="66" t="n"/>
      <c r="G3" s="66" t="n"/>
      <c r="H3" s="66" t="n"/>
      <c r="I3" s="30" t="n"/>
      <c r="J3" s="30" t="n"/>
      <c r="K3" s="30" t="n"/>
      <c r="L3" s="30" t="n"/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</row>
    <row r="4">
      <c r="A4" s="30" t="inlineStr">
        <is>
          <t>Часов работы клиники в день</t>
        </is>
      </c>
      <c r="B4" s="35" t="n">
        <v>10</v>
      </c>
      <c r="C4" s="30" t="inlineStr">
        <is>
          <t>ч</t>
        </is>
      </c>
      <c r="D4" s="30" t="inlineStr">
        <is>
          <t>10:00-20:00</t>
        </is>
      </c>
      <c r="E4" s="66" t="n"/>
      <c r="F4" s="66" t="n"/>
      <c r="G4" s="66" t="n"/>
      <c r="H4" s="66" t="n"/>
      <c r="I4" s="30" t="n"/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</row>
    <row r="5">
      <c r="A5" s="30" t="inlineStr">
        <is>
          <t>Рабочих дней в месяце (оценка)</t>
        </is>
      </c>
      <c r="B5" s="35" t="n">
        <v>30</v>
      </c>
      <c r="C5" s="30" t="inlineStr">
        <is>
          <t>дн</t>
        </is>
      </c>
      <c r="D5" s="30" t="n"/>
      <c r="E5" s="66" t="n"/>
      <c r="F5" s="66" t="n"/>
      <c r="G5" s="66" t="n"/>
      <c r="H5" s="66" t="n"/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</row>
    <row r="6">
      <c r="A6" s="30" t="inlineStr">
        <is>
          <t>Кабинетов всего (одновременных клиентов максимум)</t>
        </is>
      </c>
      <c r="B6" s="35" t="n">
        <v>3</v>
      </c>
      <c r="C6" s="30" t="inlineStr">
        <is>
          <t>шт</t>
        </is>
      </c>
      <c r="D6" s="30" t="inlineStr">
        <is>
          <t>Косметолог гибко занимает любой свободный — лампу/оборудование можно передвинуть</t>
        </is>
      </c>
      <c r="E6" s="66" t="n"/>
      <c r="F6" s="66" t="n"/>
      <c r="G6" s="66" t="n"/>
      <c r="H6" s="66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</row>
    <row r="7">
      <c r="A7" s="30" t="inlineStr">
        <is>
          <t>Лимит ЛЭ одновременно (1 аппарат)</t>
        </is>
      </c>
      <c r="B7" s="35" t="n">
        <v>1</v>
      </c>
      <c r="C7" s="30" t="inlineStr">
        <is>
          <t>шт</t>
        </is>
      </c>
      <c r="D7" s="30" t="n"/>
      <c r="E7" s="66" t="n"/>
      <c r="F7" s="66" t="n"/>
      <c r="G7" s="66" t="n"/>
      <c r="H7" s="66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</row>
    <row r="8">
      <c r="A8" s="30" t="inlineStr">
        <is>
          <t>Лимит массажа одновременно (1 кресло)</t>
        </is>
      </c>
      <c r="B8" s="35" t="n">
        <v>1</v>
      </c>
      <c r="C8" s="30" t="inlineStr">
        <is>
          <t>шт</t>
        </is>
      </c>
      <c r="D8" s="30" t="n"/>
      <c r="E8" s="66" t="n"/>
      <c r="F8" s="66" t="n"/>
      <c r="G8" s="66" t="n"/>
      <c r="H8" s="66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</row>
    <row r="9">
      <c r="A9" s="66" t="n"/>
      <c r="B9" s="66" t="n"/>
      <c r="C9" s="66" t="n"/>
      <c r="D9" s="66" t="n"/>
      <c r="E9" s="66" t="n"/>
      <c r="F9" s="66" t="n"/>
      <c r="G9" s="66" t="n"/>
      <c r="H9" s="66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</row>
    <row r="10">
      <c r="A10" s="33" t="inlineStr">
        <is>
          <t>Потолок (часов/мес)</t>
        </is>
      </c>
      <c r="B10" s="66" t="n"/>
      <c r="C10" s="66" t="n"/>
      <c r="D10" s="66" t="n"/>
      <c r="E10" s="66" t="n"/>
      <c r="F10" s="66" t="n"/>
      <c r="G10" s="66" t="n"/>
      <c r="H10" s="66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</row>
    <row r="11">
      <c r="A11" s="30" t="inlineStr">
        <is>
          <t>Вся клиника (3 места)</t>
        </is>
      </c>
      <c r="B11" s="41">
        <f>$B$4*$B$5*$B$6</f>
        <v/>
      </c>
      <c r="C11" s="66" t="n"/>
      <c r="D11" s="66" t="n"/>
      <c r="E11" s="66" t="n"/>
      <c r="F11" s="66" t="n"/>
      <c r="G11" s="66" t="n"/>
      <c r="H11" s="66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</row>
    <row r="12">
      <c r="A12" s="30" t="inlineStr">
        <is>
          <t>ЛЭ (1 аппарат)</t>
        </is>
      </c>
      <c r="B12" s="41">
        <f>$B$4*$B$5*$B$7</f>
        <v/>
      </c>
      <c r="C12" s="66" t="n"/>
      <c r="D12" s="66" t="n"/>
      <c r="E12" s="66" t="n"/>
      <c r="F12" s="66" t="n"/>
      <c r="G12" s="66" t="n"/>
      <c r="H12" s="66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</row>
    <row r="13">
      <c r="A13" s="30" t="inlineStr">
        <is>
          <t>Массаж (1 кресло)</t>
        </is>
      </c>
      <c r="B13" s="41">
        <f>$B$4*$B$5*$B$8</f>
        <v/>
      </c>
      <c r="C13" s="66" t="n"/>
      <c r="D13" s="66" t="n"/>
      <c r="E13" s="66" t="n"/>
      <c r="F13" s="66" t="n"/>
      <c r="G13" s="66" t="n"/>
      <c r="H13" s="66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</row>
    <row r="15">
      <c r="A15" s="66" t="n"/>
      <c r="B15" s="66" t="n"/>
      <c r="C15" s="66" t="n"/>
      <c r="D15" s="66" t="n"/>
      <c r="E15" s="66" t="n"/>
      <c r="F15" s="66" t="n"/>
      <c r="G15" s="66" t="n"/>
      <c r="H15" s="66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</row>
    <row r="16">
      <c r="A16" s="28" t="inlineStr">
        <is>
          <t>Текущая загрузка (факт, реально отработанные часы)</t>
        </is>
      </c>
      <c r="H16" s="66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</row>
    <row r="17">
      <c r="A17" s="47" t="inlineStr">
        <is>
          <t>Месяц</t>
        </is>
      </c>
      <c r="B17" s="48" t="inlineStr">
        <is>
          <t>Вся клиника, ч</t>
        </is>
      </c>
      <c r="C17" s="48" t="inlineStr">
        <is>
          <t>% от потолка (900ч)</t>
        </is>
      </c>
      <c r="D17" s="48" t="inlineStr">
        <is>
          <t>ЛЭ, ч</t>
        </is>
      </c>
      <c r="E17" s="48" t="inlineStr">
        <is>
          <t>% от потолка ЛЭ</t>
        </is>
      </c>
      <c r="F17" s="48" t="inlineStr">
        <is>
          <t>Массаж, ч</t>
        </is>
      </c>
      <c r="G17" s="48" t="inlineStr">
        <is>
          <t>% от потолка массажа</t>
        </is>
      </c>
      <c r="H17" s="100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30" t="inlineStr">
        <is>
          <t>Июнь</t>
        </is>
      </c>
      <c r="B18" s="50" t="n">
        <v>359.7</v>
      </c>
      <c r="C18" s="51">
        <f>B18/$B$11</f>
        <v/>
      </c>
      <c r="D18" s="50" t="n">
        <v>80.90000000000001</v>
      </c>
      <c r="E18" s="51">
        <f>D18/$B$12</f>
        <v/>
      </c>
      <c r="F18" s="50" t="n">
        <v>78.2</v>
      </c>
      <c r="G18" s="51">
        <f>F18/$B$13</f>
        <v/>
      </c>
      <c r="H18" s="66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</row>
    <row r="19">
      <c r="A19" s="30" t="inlineStr">
        <is>
          <t>Июль</t>
        </is>
      </c>
      <c r="B19" s="50" t="n">
        <v>290</v>
      </c>
      <c r="C19" s="51">
        <f>B19/$B$11</f>
        <v/>
      </c>
      <c r="D19" s="50" t="n">
        <v>89.5</v>
      </c>
      <c r="E19" s="51">
        <f>D19/$B$12</f>
        <v/>
      </c>
      <c r="F19" s="50" t="n">
        <v>50.6</v>
      </c>
      <c r="G19" s="51">
        <f>F19/$B$13</f>
        <v/>
      </c>
      <c r="H19" s="66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</row>
    <row r="20">
      <c r="A20" s="30" t="inlineStr">
        <is>
          <t>Август*</t>
        </is>
      </c>
      <c r="B20" s="50" t="n">
        <v>166.2</v>
      </c>
      <c r="C20" s="51">
        <f>B20/$B$11</f>
        <v/>
      </c>
      <c r="D20" s="50" t="n">
        <v>51.8</v>
      </c>
      <c r="E20" s="51">
        <f>D20/$B$12</f>
        <v/>
      </c>
      <c r="F20" s="50" t="n">
        <v>22.7</v>
      </c>
      <c r="G20" s="51">
        <f>F20/$B$13</f>
        <v/>
      </c>
      <c r="H20" s="66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</row>
    <row r="21" ht="15.75" customHeight="1" s="134">
      <c r="A21" s="66" t="n"/>
      <c r="B21" s="66" t="n"/>
      <c r="C21" s="66" t="n"/>
      <c r="D21" s="66" t="n"/>
      <c r="E21" s="66" t="n"/>
      <c r="F21" s="66" t="n"/>
      <c r="G21" s="66" t="n"/>
      <c r="H21" s="66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</row>
    <row r="22" ht="15.75" customHeight="1" s="134">
      <c r="A22" s="52" t="inlineStr">
        <is>
          <t>* Август — часы по состоянию на 25.08 (неполный месяц), «Вся клиника» — сумма реально отработанных часов по всем 6 мастерам (включая Анжелу).</t>
        </is>
      </c>
      <c r="H22" s="66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</row>
    <row r="23" ht="15.75" customHeight="1" s="134">
      <c r="A23" s="66" t="n"/>
      <c r="B23" s="66" t="n"/>
      <c r="C23" s="66" t="n"/>
      <c r="D23" s="66" t="n"/>
      <c r="E23" s="66" t="n"/>
      <c r="F23" s="66" t="n"/>
      <c r="G23" s="66" t="n"/>
      <c r="H23" s="66" t="n"/>
      <c r="I23" s="30" t="n"/>
      <c r="J23" s="30" t="n"/>
      <c r="K23" s="30" t="n"/>
      <c r="L23" s="30" t="n"/>
      <c r="M23" s="30" t="n"/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</row>
    <row r="24" ht="15.75" customHeight="1" s="134">
      <c r="A24" s="28" t="inlineStr">
        <is>
          <t>Сколько часов нужно под план роста «Остальные» +10%/мес (сен-дек)</t>
        </is>
      </c>
      <c r="H24" s="66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</row>
    <row r="25" ht="15.75" customHeight="1" s="134">
      <c r="A25" s="30" t="inlineStr">
        <is>
          <t>₽/час у «Остальных» (среднее июнь-июль)</t>
        </is>
      </c>
      <c r="B25" s="53">
        <f>(740057+664344)/(263.9+213)</f>
        <v/>
      </c>
      <c r="C25" s="66" t="n"/>
      <c r="D25" s="66" t="n"/>
      <c r="E25" s="66" t="n"/>
      <c r="F25" s="66" t="n"/>
      <c r="G25" s="66" t="n"/>
      <c r="H25" s="66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</row>
    <row r="26" ht="15.75" customHeight="1" s="134">
      <c r="A26" s="66" t="n"/>
      <c r="B26" s="66" t="n"/>
      <c r="C26" s="66" t="n"/>
      <c r="D26" s="66" t="n"/>
      <c r="E26" s="66" t="n"/>
      <c r="F26" s="66" t="n"/>
      <c r="G26" s="66" t="n"/>
      <c r="H26" s="66" t="n"/>
      <c r="I26" s="30" t="n"/>
      <c r="J26" s="30" t="n"/>
      <c r="K26" s="30" t="n"/>
      <c r="L26" s="30" t="n"/>
      <c r="M26" s="30" t="n"/>
      <c r="N26" s="30" t="n"/>
      <c r="O26" s="30" t="n"/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  <c r="Z26" s="30" t="n"/>
    </row>
    <row r="27" ht="15.75" customHeight="1" s="134">
      <c r="A27" s="47" t="inlineStr">
        <is>
          <t>Месяц</t>
        </is>
      </c>
      <c r="B27" s="48" t="inlineStr">
        <is>
          <t>План «Остальные», ₽</t>
        </is>
      </c>
      <c r="C27" s="48" t="inlineStr">
        <is>
          <t>Нужно часов «Остальным»</t>
        </is>
      </c>
      <c r="D27" s="48" t="inlineStr">
        <is>
          <t>+ часы Эльвиры (плоско ~86 ч)</t>
        </is>
      </c>
      <c r="E27" s="48" t="inlineStr">
        <is>
          <t>ИТОГО часов клиники нужно</t>
        </is>
      </c>
      <c r="F27" s="48" t="inlineStr">
        <is>
          <t>% от потолка (900ч)</t>
        </is>
      </c>
      <c r="G27" s="100" t="n"/>
      <c r="H27" s="100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34">
      <c r="A28" s="30" t="inlineStr">
        <is>
          <t>Сентябрь</t>
        </is>
      </c>
      <c r="B28" s="54">
        <f>'ПРОГНОЗ'!F4</f>
        <v/>
      </c>
      <c r="C28" s="55">
        <f>B28/$B$25</f>
        <v/>
      </c>
      <c r="D28" s="55" t="n">
        <v>86</v>
      </c>
      <c r="E28" s="56">
        <f>C28+D28</f>
        <v/>
      </c>
      <c r="F28" s="57">
        <f>E28/$B$11</f>
        <v/>
      </c>
      <c r="G28" s="66" t="n"/>
      <c r="H28" s="66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</row>
    <row r="29" ht="15.75" customHeight="1" s="134">
      <c r="A29" s="30" t="inlineStr">
        <is>
          <t>Октябрь</t>
        </is>
      </c>
      <c r="B29" s="54">
        <f>'ПРОГНОЗ'!J4</f>
        <v/>
      </c>
      <c r="C29" s="55">
        <f>B29/$B$25</f>
        <v/>
      </c>
      <c r="D29" s="55" t="n">
        <v>86</v>
      </c>
      <c r="E29" s="56">
        <f>C29+D29</f>
        <v/>
      </c>
      <c r="F29" s="57">
        <f>E29/$B$11</f>
        <v/>
      </c>
      <c r="G29" s="66" t="n"/>
      <c r="H29" s="66" t="n"/>
      <c r="I29" s="30" t="n"/>
      <c r="J29" s="30" t="n"/>
      <c r="K29" s="30" t="n"/>
      <c r="L29" s="30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</row>
    <row r="30" ht="15.75" customHeight="1" s="134">
      <c r="A30" s="30" t="inlineStr">
        <is>
          <t>Ноябрь</t>
        </is>
      </c>
      <c r="B30" s="54">
        <f>'ПРОГНОЗ'!N4</f>
        <v/>
      </c>
      <c r="C30" s="55">
        <f>B30/$B$25</f>
        <v/>
      </c>
      <c r="D30" s="55" t="n">
        <v>86</v>
      </c>
      <c r="E30" s="56">
        <f>C30+D30</f>
        <v/>
      </c>
      <c r="F30" s="57">
        <f>E30/$B$11</f>
        <v/>
      </c>
      <c r="G30" s="66" t="n"/>
      <c r="H30" s="66" t="n"/>
      <c r="I30" s="30" t="n"/>
      <c r="J30" s="30" t="n"/>
      <c r="K30" s="30" t="n"/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</row>
    <row r="31" ht="15.75" customHeight="1" s="134">
      <c r="A31" s="30" t="inlineStr">
        <is>
          <t>Декабрь</t>
        </is>
      </c>
      <c r="B31" s="54">
        <f>'ПРОГНОЗ'!R4</f>
        <v/>
      </c>
      <c r="C31" s="55">
        <f>B31/$B$25</f>
        <v/>
      </c>
      <c r="D31" s="55" t="n">
        <v>86</v>
      </c>
      <c r="E31" s="56">
        <f>C31+D31</f>
        <v/>
      </c>
      <c r="F31" s="57">
        <f>E31/$B$11</f>
        <v/>
      </c>
      <c r="G31" s="66" t="n"/>
      <c r="H31" s="66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</row>
    <row r="32" ht="15.75" customHeight="1" s="134">
      <c r="A32" s="66" t="n"/>
      <c r="B32" s="66" t="n"/>
      <c r="C32" s="66" t="n"/>
      <c r="D32" s="66" t="n"/>
      <c r="E32" s="66" t="n"/>
      <c r="F32" s="66" t="n"/>
      <c r="G32" s="66" t="n"/>
      <c r="H32" s="66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  <c r="Z32" s="30" t="n"/>
    </row>
    <row r="33" ht="60" customHeight="1" s="134">
      <c r="A33" s="23" t="inlineStr">
        <is>
          <t>Вывод: даже в декабре при плане роста «Остальных» +10%/мес суммарная загрузка клиники не подходит близко к потолку в 900 ч/мес (см. % от потолка выше) — физических ограничений по кабинетам в ближайшие 4 месяца не видно. Отдельно стоит смотреть личную загрузку каждого мастера (сколько часов лично готовы работать) — это не про кабинеты, это про людей, см. лист «Загрузка мастеров».</t>
        </is>
      </c>
      <c r="H33" s="66" t="n"/>
      <c r="I33" s="30" t="n"/>
      <c r="J33" s="30" t="n"/>
      <c r="K33" s="30" t="n"/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</row>
    <row r="34" ht="15.75" customHeight="1" s="1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30" t="n"/>
      <c r="J34" s="30" t="n"/>
      <c r="K34" s="30" t="n"/>
      <c r="L34" s="30" t="n"/>
      <c r="M34" s="30" t="n"/>
      <c r="N34" s="30" t="n"/>
      <c r="O34" s="30" t="n"/>
      <c r="P34" s="30" t="n"/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  <c r="Z34" s="30" t="n"/>
    </row>
    <row r="35" ht="15.75" customHeight="1" s="134">
      <c r="A35" s="66" t="n"/>
      <c r="B35" s="66" t="n"/>
      <c r="C35" s="66" t="n"/>
      <c r="D35" s="66" t="n"/>
      <c r="E35" s="66" t="n"/>
      <c r="F35" s="66" t="n"/>
      <c r="G35" s="66" t="n"/>
      <c r="H35" s="66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</row>
    <row r="36" ht="15.75" customHeight="1" s="134">
      <c r="A36" s="58" t="inlineStr">
        <is>
          <t>Сколько стоит час у каждого мастера + среднее время на клиента (июнь-июль)</t>
        </is>
      </c>
      <c r="G36" s="66" t="n"/>
      <c r="H36" s="66" t="n"/>
      <c r="I36" s="30" t="n"/>
      <c r="J36" s="30" t="n"/>
      <c r="K36" s="30" t="n"/>
      <c r="L36" s="30" t="n"/>
      <c r="M36" s="30" t="n"/>
      <c r="N36" s="30" t="n"/>
      <c r="O36" s="30" t="n"/>
      <c r="P36" s="30" t="n"/>
      <c r="Q36" s="30" t="n"/>
      <c r="R36" s="30" t="n"/>
      <c r="S36" s="30" t="n"/>
      <c r="T36" s="30" t="n"/>
      <c r="U36" s="30" t="n"/>
      <c r="V36" s="30" t="n"/>
      <c r="W36" s="30" t="n"/>
      <c r="X36" s="30" t="n"/>
      <c r="Y36" s="30" t="n"/>
      <c r="Z36" s="30" t="n"/>
    </row>
    <row r="37">
      <c r="A37" s="59" t="inlineStr">
        <is>
          <t>Мастер</t>
        </is>
      </c>
      <c r="B37" s="60" t="inlineStr">
        <is>
          <t>Выручка услуг, ₽ (июнь-июль)</t>
        </is>
      </c>
      <c r="C37" s="60" t="inlineStr">
        <is>
          <t>Отработано часов</t>
        </is>
      </c>
      <c r="D37" s="60" t="inlineStr">
        <is>
          <t>₽/час</t>
        </is>
      </c>
      <c r="E37" s="60" t="inlineStr">
        <is>
          <t>Визитов</t>
        </is>
      </c>
      <c r="F37" s="60" t="inlineStr">
        <is>
          <t>Среднее время на клиента, мин</t>
        </is>
      </c>
      <c r="G37" s="100" t="n"/>
      <c r="H37" s="100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34">
      <c r="A38" s="66" t="inlineStr">
        <is>
          <t>Эльвира</t>
        </is>
      </c>
      <c r="B38" s="54" t="n">
        <v>2375383</v>
      </c>
      <c r="C38" s="55" t="n">
        <v>172.8</v>
      </c>
      <c r="D38" s="54">
        <f>B38/C38</f>
        <v/>
      </c>
      <c r="E38" s="66" t="n">
        <v>234</v>
      </c>
      <c r="F38" s="61">
        <f>C38*60/E38</f>
        <v/>
      </c>
      <c r="G38" s="66" t="n"/>
      <c r="H38" s="66" t="n"/>
      <c r="I38" s="30" t="n"/>
      <c r="J38" s="30" t="n"/>
      <c r="K38" s="30" t="n"/>
      <c r="L38" s="30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30" t="n"/>
      <c r="V38" s="30" t="n"/>
      <c r="W38" s="30" t="n"/>
      <c r="X38" s="30" t="n"/>
      <c r="Y38" s="30" t="n"/>
      <c r="Z38" s="30" t="n"/>
    </row>
    <row r="39" ht="15.75" customHeight="1" s="134">
      <c r="A39" s="66" t="inlineStr">
        <is>
          <t>Татьяна</t>
        </is>
      </c>
      <c r="B39" s="54" t="n">
        <v>807635</v>
      </c>
      <c r="C39" s="55" t="n">
        <v>195.1</v>
      </c>
      <c r="D39" s="54">
        <f>B39/C39</f>
        <v/>
      </c>
      <c r="E39" s="66" t="n">
        <v>183</v>
      </c>
      <c r="F39" s="61">
        <f>C39*60/E39</f>
        <v/>
      </c>
      <c r="G39" s="66" t="n"/>
      <c r="H39" s="66" t="n"/>
      <c r="I39" s="30" t="n"/>
      <c r="J39" s="30" t="n"/>
      <c r="K39" s="30" t="n"/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</row>
    <row r="40" ht="15.75" customHeight="1" s="134">
      <c r="A40" s="62" t="inlineStr">
        <is>
          <t>Анна</t>
        </is>
      </c>
      <c r="B40" s="63" t="n">
        <v>281350</v>
      </c>
      <c r="C40" s="64" t="n">
        <v>85.90000000000001</v>
      </c>
      <c r="D40" s="63">
        <f>B40/C40</f>
        <v/>
      </c>
      <c r="E40" s="62" t="n">
        <v>62</v>
      </c>
      <c r="F40" s="65">
        <f>C40*60/E40</f>
        <v/>
      </c>
      <c r="G40" s="66" t="inlineStr">
        <is>
          <t>в сравнении с Таней - дорогой спец</t>
        </is>
      </c>
      <c r="H40" s="66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</row>
    <row r="41" ht="15.75" customHeight="1" s="134">
      <c r="A41" s="66" t="inlineStr">
        <is>
          <t>Александра</t>
        </is>
      </c>
      <c r="B41" s="54" t="n">
        <v>150859</v>
      </c>
      <c r="C41" s="55" t="n">
        <v>72.2</v>
      </c>
      <c r="D41" s="54">
        <f>B41/C41</f>
        <v/>
      </c>
      <c r="E41" s="66" t="n">
        <v>63</v>
      </c>
      <c r="F41" s="61">
        <f>C41*60/E41</f>
        <v/>
      </c>
      <c r="G41" s="66" t="n"/>
      <c r="H41" s="66" t="n"/>
      <c r="I41" s="30" t="n"/>
      <c r="J41" s="30" t="n"/>
      <c r="K41" s="30" t="n"/>
      <c r="L41" s="30" t="n"/>
      <c r="M41" s="30" t="n"/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  <c r="W41" s="30" t="n"/>
      <c r="X41" s="30" t="n"/>
      <c r="Y41" s="30" t="n"/>
      <c r="Z41" s="30" t="n"/>
    </row>
    <row r="42" ht="15.75" customHeight="1" s="134">
      <c r="A42" s="66" t="inlineStr">
        <is>
          <t>Влада</t>
        </is>
      </c>
      <c r="B42" s="54" t="n">
        <v>164557</v>
      </c>
      <c r="C42" s="55" t="n">
        <v>123.7</v>
      </c>
      <c r="D42" s="54">
        <f>B42/C42</f>
        <v/>
      </c>
      <c r="E42" s="66" t="n">
        <v>107</v>
      </c>
      <c r="F42" s="61">
        <f>C42*60/E42</f>
        <v/>
      </c>
      <c r="G42" s="66" t="inlineStr">
        <is>
          <t>поднимать чек</t>
        </is>
      </c>
      <c r="H42" s="66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0" t="n"/>
      <c r="R42" s="30" t="n"/>
      <c r="S42" s="30" t="n"/>
      <c r="T42" s="30" t="n"/>
      <c r="U42" s="30" t="n"/>
      <c r="V42" s="30" t="n"/>
      <c r="W42" s="30" t="n"/>
      <c r="X42" s="30" t="n"/>
      <c r="Y42" s="30" t="n"/>
      <c r="Z42" s="30" t="n"/>
    </row>
    <row r="43" ht="15.75" customHeight="1" s="134">
      <c r="A43" s="66" t="n"/>
      <c r="B43" s="66" t="n"/>
      <c r="C43" s="66" t="n"/>
      <c r="D43" s="66" t="n"/>
      <c r="E43" s="66" t="n"/>
      <c r="F43" s="66" t="n"/>
      <c r="G43" s="66" t="n"/>
      <c r="H43" s="66" t="n"/>
      <c r="I43" s="30" t="n"/>
      <c r="J43" s="30" t="n"/>
      <c r="K43" s="30" t="n"/>
      <c r="L43" s="30" t="n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</row>
    <row r="44" ht="15.75" customHeight="1" s="13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  <c r="Z44" s="30" t="n"/>
    </row>
    <row r="45" ht="15.75" customHeight="1" s="134">
      <c r="A45" s="58" t="inlineStr">
        <is>
          <t>Эффективность роста: сколько денег дают ОДИНАКОВЫЕ +20 доп. часов у разных мастеров</t>
        </is>
      </c>
      <c r="G45" s="66" t="n"/>
      <c r="H45" s="66" t="n"/>
      <c r="I45" s="30" t="n"/>
      <c r="J45" s="30" t="n"/>
      <c r="K45" s="30" t="n"/>
      <c r="L45" s="30" t="n"/>
      <c r="M45" s="30" t="n"/>
      <c r="N45" s="30" t="n"/>
      <c r="O45" s="30" t="n"/>
      <c r="P45" s="30" t="n"/>
      <c r="Q45" s="30" t="n"/>
      <c r="R45" s="30" t="n"/>
      <c r="S45" s="30" t="n"/>
      <c r="T45" s="30" t="n"/>
      <c r="U45" s="30" t="n"/>
      <c r="V45" s="30" t="n"/>
      <c r="W45" s="30" t="n"/>
      <c r="X45" s="30" t="n"/>
      <c r="Y45" s="30" t="n"/>
      <c r="Z45" s="30" t="n"/>
    </row>
    <row r="46" ht="15.75" customHeight="1" s="134">
      <c r="A46" s="67" t="inlineStr">
        <is>
          <t>Мастер</t>
        </is>
      </c>
      <c r="B46" s="67" t="inlineStr">
        <is>
          <t>₽/час</t>
        </is>
      </c>
      <c r="C46" s="67" t="inlineStr">
        <is>
          <t>+20 часов сверх текущего дают, ₽</t>
        </is>
      </c>
      <c r="D46" s="67" t="inlineStr">
        <is>
          <t>Ранг по эффективности</t>
        </is>
      </c>
      <c r="E46" s="66" t="n"/>
      <c r="F46" s="66" t="n"/>
      <c r="G46" s="66" t="n"/>
      <c r="H46" s="66" t="n"/>
      <c r="I46" s="30" t="n"/>
      <c r="J46" s="30" t="n"/>
      <c r="K46" s="30" t="n"/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0" t="n"/>
      <c r="W46" s="30" t="n"/>
      <c r="X46" s="30" t="n"/>
      <c r="Y46" s="30" t="n"/>
      <c r="Z46" s="30" t="n"/>
    </row>
    <row r="47" ht="15.75" customHeight="1" s="134">
      <c r="A47" s="66" t="inlineStr">
        <is>
          <t>Татьяна</t>
        </is>
      </c>
      <c r="B47" s="54">
        <f>D39</f>
        <v/>
      </c>
      <c r="C47" s="54">
        <f>D39*20</f>
        <v/>
      </c>
      <c r="D47" s="66">
        <f>RANK(B47,$B$47:$B$50)</f>
        <v/>
      </c>
      <c r="E47" s="66" t="n"/>
      <c r="F47" s="66" t="n"/>
      <c r="G47" s="66" t="n"/>
      <c r="H47" s="66" t="n"/>
      <c r="I47" s="30" t="n"/>
      <c r="J47" s="30" t="n"/>
      <c r="K47" s="30" t="n"/>
      <c r="L47" s="30" t="n"/>
      <c r="M47" s="30" t="n"/>
      <c r="N47" s="30" t="n"/>
      <c r="O47" s="30" t="n"/>
      <c r="P47" s="30" t="n"/>
      <c r="Q47" s="30" t="n"/>
      <c r="R47" s="30" t="n"/>
      <c r="S47" s="30" t="n"/>
      <c r="T47" s="30" t="n"/>
      <c r="U47" s="30" t="n"/>
      <c r="V47" s="30" t="n"/>
      <c r="W47" s="30" t="n"/>
      <c r="X47" s="30" t="n"/>
      <c r="Y47" s="30" t="n"/>
      <c r="Z47" s="30" t="n"/>
    </row>
    <row r="48" ht="15.75" customHeight="1" s="134">
      <c r="A48" s="66" t="inlineStr">
        <is>
          <t>Анна</t>
        </is>
      </c>
      <c r="B48" s="54">
        <f>D40</f>
        <v/>
      </c>
      <c r="C48" s="54">
        <f>D40*20</f>
        <v/>
      </c>
      <c r="D48" s="66">
        <f>RANK(B48,$B$47:$B$50)</f>
        <v/>
      </c>
      <c r="E48" s="66" t="n"/>
      <c r="F48" s="66" t="n"/>
      <c r="G48" s="66" t="n"/>
      <c r="H48" s="66" t="n"/>
      <c r="I48" s="30" t="n"/>
      <c r="J48" s="30" t="n"/>
      <c r="K48" s="30" t="n"/>
      <c r="L48" s="30" t="n"/>
      <c r="M48" s="30" t="n"/>
      <c r="N48" s="30" t="n"/>
      <c r="O48" s="30" t="n"/>
      <c r="P48" s="30" t="n"/>
      <c r="Q48" s="30" t="n"/>
      <c r="R48" s="30" t="n"/>
      <c r="S48" s="30" t="n"/>
      <c r="T48" s="30" t="n"/>
      <c r="U48" s="30" t="n"/>
      <c r="V48" s="30" t="n"/>
      <c r="W48" s="30" t="n"/>
      <c r="X48" s="30" t="n"/>
      <c r="Y48" s="30" t="n"/>
      <c r="Z48" s="30" t="n"/>
    </row>
    <row r="49" ht="15.75" customHeight="1" s="134">
      <c r="A49" s="66" t="inlineStr">
        <is>
          <t>Александра</t>
        </is>
      </c>
      <c r="B49" s="54">
        <f>D41</f>
        <v/>
      </c>
      <c r="C49" s="54">
        <f>D41*20</f>
        <v/>
      </c>
      <c r="D49" s="66">
        <f>RANK(B49,$B$47:$B$50)</f>
        <v/>
      </c>
      <c r="E49" s="66" t="n"/>
      <c r="F49" s="66" t="n"/>
      <c r="G49" s="66" t="n"/>
      <c r="H49" s="66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  <c r="Z49" s="30" t="n"/>
    </row>
    <row r="50" ht="15.75" customHeight="1" s="134">
      <c r="A50" s="66" t="inlineStr">
        <is>
          <t>Влада</t>
        </is>
      </c>
      <c r="B50" s="54">
        <f>D42</f>
        <v/>
      </c>
      <c r="C50" s="54">
        <f>D42*20</f>
        <v/>
      </c>
      <c r="D50" s="66">
        <f>RANK(B50,$B$47:$B$50)</f>
        <v/>
      </c>
      <c r="E50" s="66" t="n"/>
      <c r="F50" s="66" t="n"/>
      <c r="G50" s="66" t="n"/>
      <c r="H50" s="66" t="n"/>
      <c r="I50" s="30" t="n"/>
      <c r="J50" s="30" t="n"/>
      <c r="K50" s="30" t="n"/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</row>
    <row r="51" ht="15.75" customHeight="1" s="134">
      <c r="A51" s="66" t="n"/>
      <c r="B51" s="66" t="n"/>
      <c r="C51" s="66" t="n"/>
      <c r="D51" s="66" t="n"/>
      <c r="E51" s="66" t="n"/>
      <c r="F51" s="66" t="n"/>
      <c r="G51" s="66" t="n"/>
      <c r="H51" s="66" t="n"/>
      <c r="I51" s="30" t="n"/>
      <c r="J51" s="30" t="n"/>
      <c r="K51" s="30" t="n"/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  <c r="Z51" s="30" t="n"/>
    </row>
    <row r="52" ht="90" customHeight="1" s="134">
      <c r="A52" s="68" t="inlineStr">
        <is>
          <t>Смысл: если план роста «Остальных» распределять не поровну, а в первую очередь давать доп. часы Татьяне (4 140 ₽/час) и Анне (3 275 ₽/час), а не Владе (1 330 ₽/час) — та же выручка достигается МЕНЬШИМ количеством часов (то есть быстрее и с меньшей нагрузкой на команду), либо те же часы дают больше денег. Компромисс: Александра и Влада тогда растут медленнее — если для тебя важно развивать их загрузку в частности (не только общую выручку клиники), это стоит явно решить, а не просто гнаться за максимальной эффективностью ₽/час.</t>
        </is>
      </c>
      <c r="G52" s="66" t="n"/>
      <c r="H52" s="66" t="n"/>
      <c r="I52" s="30" t="n"/>
      <c r="J52" s="30" t="n"/>
      <c r="K52" s="30" t="n"/>
      <c r="L52" s="30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</row>
    <row r="53" ht="15.75" customHeight="1" s="134">
      <c r="A53" s="66" t="n"/>
      <c r="B53" s="66" t="n"/>
      <c r="C53" s="66" t="n"/>
      <c r="D53" s="66" t="n"/>
      <c r="E53" s="66" t="n"/>
      <c r="F53" s="66" t="n"/>
      <c r="G53" s="66" t="n"/>
      <c r="H53" s="66" t="n"/>
      <c r="I53" s="30" t="n"/>
      <c r="J53" s="30" t="n"/>
      <c r="K53" s="30" t="n"/>
      <c r="L53" s="30" t="n"/>
      <c r="M53" s="30" t="n"/>
      <c r="N53" s="30" t="n"/>
      <c r="O53" s="30" t="n"/>
      <c r="P53" s="30" t="n"/>
      <c r="Q53" s="30" t="n"/>
      <c r="R53" s="30" t="n"/>
      <c r="S53" s="30" t="n"/>
      <c r="T53" s="30" t="n"/>
      <c r="U53" s="30" t="n"/>
      <c r="V53" s="30" t="n"/>
      <c r="W53" s="30" t="n"/>
      <c r="X53" s="30" t="n"/>
      <c r="Y53" s="30" t="n"/>
      <c r="Z53" s="30" t="n"/>
    </row>
    <row r="54" ht="15.75" customHeight="1" s="13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30" t="n"/>
      <c r="J54" s="30" t="n"/>
      <c r="K54" s="30" t="n"/>
      <c r="L54" s="30" t="n"/>
      <c r="M54" s="30" t="n"/>
      <c r="N54" s="30" t="n"/>
      <c r="O54" s="30" t="n"/>
      <c r="P54" s="30" t="n"/>
      <c r="Q54" s="30" t="n"/>
      <c r="R54" s="30" t="n"/>
      <c r="S54" s="30" t="n"/>
      <c r="T54" s="30" t="n"/>
      <c r="U54" s="30" t="n"/>
      <c r="V54" s="30" t="n"/>
      <c r="W54" s="30" t="n"/>
      <c r="X54" s="30" t="n"/>
      <c r="Y54" s="30" t="n"/>
      <c r="Z54" s="30" t="n"/>
    </row>
    <row r="55" ht="15.75" customHeight="1" s="134">
      <c r="A55" s="66" t="n"/>
      <c r="B55" s="66" t="n"/>
      <c r="C55" s="66" t="n"/>
      <c r="D55" s="66" t="n"/>
      <c r="E55" s="66" t="n"/>
      <c r="F55" s="66" t="n"/>
      <c r="G55" s="66" t="n"/>
      <c r="H55" s="66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  <c r="Z55" s="30" t="n"/>
    </row>
    <row r="56" ht="15.75" customHeight="1" s="134">
      <c r="A56" s="66" t="n"/>
      <c r="B56" s="66" t="n"/>
      <c r="C56" s="66" t="n"/>
      <c r="D56" s="66" t="n"/>
      <c r="E56" s="66" t="n"/>
      <c r="F56" s="66" t="n"/>
      <c r="G56" s="66" t="n"/>
      <c r="H56" s="66" t="n"/>
      <c r="I56" s="30" t="n"/>
      <c r="J56" s="30" t="n"/>
      <c r="K56" s="30" t="n"/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0" t="n"/>
      <c r="V56" s="30" t="n"/>
      <c r="W56" s="30" t="n"/>
      <c r="X56" s="30" t="n"/>
      <c r="Y56" s="30" t="n"/>
      <c r="Z56" s="30" t="n"/>
    </row>
    <row r="57" ht="15.75" customHeight="1" s="134">
      <c r="A57" s="66" t="n"/>
      <c r="B57" s="66" t="n"/>
      <c r="C57" s="66" t="n"/>
      <c r="D57" s="66" t="n"/>
      <c r="E57" s="66" t="n"/>
      <c r="F57" s="66" t="n"/>
      <c r="G57" s="66" t="n"/>
      <c r="H57" s="66" t="n"/>
      <c r="I57" s="30" t="n"/>
      <c r="J57" s="30" t="n"/>
      <c r="K57" s="30" t="n"/>
      <c r="L57" s="30" t="n"/>
      <c r="M57" s="30" t="n"/>
      <c r="N57" s="30" t="n"/>
      <c r="O57" s="30" t="n"/>
      <c r="P57" s="30" t="n"/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  <c r="Z57" s="30" t="n"/>
    </row>
    <row r="58" ht="15.75" customHeight="1" s="134">
      <c r="A58" s="66" t="n"/>
      <c r="B58" s="66" t="n"/>
      <c r="C58" s="66" t="n"/>
      <c r="D58" s="66" t="n"/>
      <c r="E58" s="66" t="n"/>
      <c r="F58" s="66" t="n"/>
      <c r="G58" s="66" t="n"/>
      <c r="H58" s="66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  <c r="W58" s="30" t="n"/>
      <c r="X58" s="30" t="n"/>
      <c r="Y58" s="30" t="n"/>
      <c r="Z58" s="30" t="n"/>
    </row>
    <row r="59" ht="15.75" customHeight="1" s="134">
      <c r="A59" s="66" t="n"/>
      <c r="B59" s="66" t="n"/>
      <c r="C59" s="66" t="n"/>
      <c r="D59" s="66" t="n"/>
      <c r="E59" s="66" t="n"/>
      <c r="F59" s="66" t="n"/>
      <c r="G59" s="66" t="n"/>
      <c r="H59" s="66" t="n"/>
      <c r="I59" s="30" t="n"/>
      <c r="J59" s="30" t="n"/>
      <c r="K59" s="30" t="n"/>
      <c r="L59" s="30" t="n"/>
      <c r="M59" s="30" t="n"/>
      <c r="N59" s="30" t="n"/>
      <c r="O59" s="30" t="n"/>
      <c r="P59" s="30" t="n"/>
      <c r="Q59" s="30" t="n"/>
      <c r="R59" s="30" t="n"/>
      <c r="S59" s="30" t="n"/>
      <c r="T59" s="30" t="n"/>
      <c r="U59" s="30" t="n"/>
      <c r="V59" s="30" t="n"/>
      <c r="W59" s="30" t="n"/>
      <c r="X59" s="30" t="n"/>
      <c r="Y59" s="30" t="n"/>
      <c r="Z59" s="30" t="n"/>
    </row>
    <row r="60" ht="15.75" customHeight="1" s="134">
      <c r="A60" s="66" t="n"/>
      <c r="B60" s="66" t="n"/>
      <c r="C60" s="66" t="n"/>
      <c r="D60" s="66" t="n"/>
      <c r="E60" s="66" t="n"/>
      <c r="F60" s="66" t="n"/>
      <c r="G60" s="66" t="n"/>
      <c r="H60" s="66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  <c r="X60" s="30" t="n"/>
      <c r="Y60" s="30" t="n"/>
      <c r="Z60" s="30" t="n"/>
    </row>
    <row r="61" ht="15.75" customHeight="1" s="134">
      <c r="A61" s="66" t="n"/>
      <c r="B61" s="66" t="n"/>
      <c r="C61" s="66" t="n"/>
      <c r="D61" s="66" t="n"/>
      <c r="E61" s="66" t="n"/>
      <c r="F61" s="66" t="n"/>
      <c r="G61" s="66" t="n"/>
      <c r="H61" s="66" t="n"/>
      <c r="I61" s="30" t="n"/>
      <c r="J61" s="30" t="n"/>
      <c r="K61" s="30" t="n"/>
      <c r="L61" s="30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30" t="n"/>
      <c r="W61" s="30" t="n"/>
      <c r="X61" s="30" t="n"/>
      <c r="Y61" s="30" t="n"/>
      <c r="Z61" s="30" t="n"/>
    </row>
    <row r="62" ht="15.75" customHeight="1" s="134">
      <c r="A62" s="66" t="n"/>
      <c r="B62" s="66" t="n"/>
      <c r="C62" s="66" t="n"/>
      <c r="D62" s="66" t="n"/>
      <c r="E62" s="66" t="n"/>
      <c r="F62" s="66" t="n"/>
      <c r="G62" s="66" t="n"/>
      <c r="H62" s="66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n"/>
      <c r="U62" s="30" t="n"/>
      <c r="V62" s="30" t="n"/>
      <c r="W62" s="30" t="n"/>
      <c r="X62" s="30" t="n"/>
      <c r="Y62" s="30" t="n"/>
      <c r="Z62" s="30" t="n"/>
    </row>
    <row r="63" ht="15.75" customHeight="1" s="134">
      <c r="A63" s="66" t="n"/>
      <c r="B63" s="66" t="n"/>
      <c r="C63" s="66" t="n"/>
      <c r="D63" s="66" t="n"/>
      <c r="E63" s="66" t="n"/>
      <c r="F63" s="66" t="n"/>
      <c r="G63" s="66" t="n"/>
      <c r="H63" s="66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n"/>
      <c r="V63" s="30" t="n"/>
      <c r="W63" s="30" t="n"/>
      <c r="X63" s="30" t="n"/>
      <c r="Y63" s="30" t="n"/>
      <c r="Z63" s="30" t="n"/>
    </row>
    <row r="64" ht="15.75" customHeight="1" s="13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  <c r="X64" s="30" t="n"/>
      <c r="Y64" s="30" t="n"/>
      <c r="Z64" s="30" t="n"/>
    </row>
    <row r="65" ht="15.75" customHeight="1" s="134">
      <c r="A65" s="66" t="n"/>
      <c r="B65" s="66" t="n"/>
      <c r="C65" s="66" t="n"/>
      <c r="D65" s="66" t="n"/>
      <c r="E65" s="66" t="n"/>
      <c r="F65" s="66" t="n"/>
      <c r="G65" s="66" t="n"/>
      <c r="H65" s="66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  <c r="Z65" s="30" t="n"/>
    </row>
    <row r="66" ht="15.75" customHeight="1" s="134">
      <c r="A66" s="66" t="n"/>
      <c r="B66" s="66" t="n"/>
      <c r="C66" s="66" t="n"/>
      <c r="D66" s="66" t="n"/>
      <c r="E66" s="66" t="n"/>
      <c r="F66" s="66" t="n"/>
      <c r="G66" s="66" t="n"/>
      <c r="H66" s="66" t="n"/>
      <c r="I66" s="30" t="n"/>
      <c r="J66" s="30" t="n"/>
      <c r="K66" s="30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n"/>
      <c r="U66" s="30" t="n"/>
      <c r="V66" s="30" t="n"/>
      <c r="W66" s="30" t="n"/>
      <c r="X66" s="30" t="n"/>
      <c r="Y66" s="30" t="n"/>
      <c r="Z66" s="30" t="n"/>
    </row>
    <row r="67" ht="15.75" customHeight="1" s="134">
      <c r="A67" s="66" t="n"/>
      <c r="B67" s="66" t="n"/>
      <c r="C67" s="66" t="n"/>
      <c r="D67" s="66" t="n"/>
      <c r="E67" s="66" t="n"/>
      <c r="F67" s="66" t="n"/>
      <c r="G67" s="66" t="n"/>
      <c r="H67" s="66" t="n"/>
      <c r="I67" s="30" t="n"/>
      <c r="J67" s="30" t="n"/>
      <c r="K67" s="30" t="n"/>
      <c r="L67" s="30" t="n"/>
      <c r="M67" s="30" t="n"/>
      <c r="N67" s="30" t="n"/>
      <c r="O67" s="30" t="n"/>
      <c r="P67" s="30" t="n"/>
      <c r="Q67" s="30" t="n"/>
      <c r="R67" s="30" t="n"/>
      <c r="S67" s="30" t="n"/>
      <c r="T67" s="30" t="n"/>
      <c r="U67" s="30" t="n"/>
      <c r="V67" s="30" t="n"/>
      <c r="W67" s="30" t="n"/>
      <c r="X67" s="30" t="n"/>
      <c r="Y67" s="30" t="n"/>
      <c r="Z67" s="30" t="n"/>
    </row>
    <row r="68" ht="15.75" customHeight="1" s="134">
      <c r="A68" s="66" t="n"/>
      <c r="B68" s="66" t="n"/>
      <c r="C68" s="66" t="n"/>
      <c r="D68" s="66" t="n"/>
      <c r="E68" s="66" t="n"/>
      <c r="F68" s="66" t="n"/>
      <c r="G68" s="66" t="n"/>
      <c r="H68" s="66" t="n"/>
      <c r="I68" s="30" t="n"/>
      <c r="J68" s="30" t="n"/>
      <c r="K68" s="30" t="n"/>
      <c r="L68" s="30" t="n"/>
      <c r="M68" s="30" t="n"/>
      <c r="N68" s="30" t="n"/>
      <c r="O68" s="30" t="n"/>
      <c r="P68" s="30" t="n"/>
      <c r="Q68" s="30" t="n"/>
      <c r="R68" s="30" t="n"/>
      <c r="S68" s="30" t="n"/>
      <c r="T68" s="30" t="n"/>
      <c r="U68" s="30" t="n"/>
      <c r="V68" s="30" t="n"/>
      <c r="W68" s="30" t="n"/>
      <c r="X68" s="30" t="n"/>
      <c r="Y68" s="30" t="n"/>
      <c r="Z68" s="30" t="n"/>
    </row>
    <row r="69" ht="15.75" customHeight="1" s="134">
      <c r="A69" s="66" t="n"/>
      <c r="B69" s="66" t="n"/>
      <c r="C69" s="66" t="n"/>
      <c r="D69" s="66" t="n"/>
      <c r="E69" s="66" t="n"/>
      <c r="F69" s="66" t="n"/>
      <c r="G69" s="66" t="n"/>
      <c r="H69" s="66" t="n"/>
      <c r="I69" s="30" t="n"/>
      <c r="J69" s="30" t="n"/>
      <c r="K69" s="30" t="n"/>
      <c r="L69" s="30" t="n"/>
      <c r="M69" s="30" t="n"/>
      <c r="N69" s="30" t="n"/>
      <c r="O69" s="30" t="n"/>
      <c r="P69" s="30" t="n"/>
      <c r="Q69" s="30" t="n"/>
      <c r="R69" s="30" t="n"/>
      <c r="S69" s="30" t="n"/>
      <c r="T69" s="30" t="n"/>
      <c r="U69" s="30" t="n"/>
      <c r="V69" s="30" t="n"/>
      <c r="W69" s="30" t="n"/>
      <c r="X69" s="30" t="n"/>
      <c r="Y69" s="30" t="n"/>
      <c r="Z69" s="30" t="n"/>
    </row>
    <row r="70" ht="15.75" customHeight="1" s="134">
      <c r="A70" s="66" t="n"/>
      <c r="B70" s="66" t="n"/>
      <c r="C70" s="66" t="n"/>
      <c r="D70" s="66" t="n"/>
      <c r="E70" s="66" t="n"/>
      <c r="F70" s="66" t="n"/>
      <c r="G70" s="66" t="n"/>
      <c r="H70" s="66" t="n"/>
      <c r="I70" s="30" t="n"/>
      <c r="J70" s="30" t="n"/>
      <c r="K70" s="30" t="n"/>
      <c r="L70" s="30" t="n"/>
      <c r="M70" s="30" t="n"/>
      <c r="N70" s="30" t="n"/>
      <c r="O70" s="30" t="n"/>
      <c r="P70" s="30" t="n"/>
      <c r="Q70" s="30" t="n"/>
      <c r="R70" s="30" t="n"/>
      <c r="S70" s="30" t="n"/>
      <c r="T70" s="30" t="n"/>
      <c r="U70" s="30" t="n"/>
      <c r="V70" s="30" t="n"/>
      <c r="W70" s="30" t="n"/>
      <c r="X70" s="30" t="n"/>
      <c r="Y70" s="30" t="n"/>
      <c r="Z70" s="30" t="n"/>
    </row>
    <row r="71" ht="15.75" customHeight="1" s="134">
      <c r="A71" s="66" t="n"/>
      <c r="B71" s="66" t="n"/>
      <c r="C71" s="66" t="n"/>
      <c r="D71" s="66" t="n"/>
      <c r="E71" s="66" t="n"/>
      <c r="F71" s="66" t="n"/>
      <c r="G71" s="66" t="n"/>
      <c r="H71" s="66" t="n"/>
      <c r="I71" s="30" t="n"/>
      <c r="J71" s="30" t="n"/>
      <c r="K71" s="30" t="n"/>
      <c r="L71" s="30" t="n"/>
      <c r="M71" s="30" t="n"/>
      <c r="N71" s="30" t="n"/>
      <c r="O71" s="30" t="n"/>
      <c r="P71" s="30" t="n"/>
      <c r="Q71" s="30" t="n"/>
      <c r="R71" s="30" t="n"/>
      <c r="S71" s="30" t="n"/>
      <c r="T71" s="30" t="n"/>
      <c r="U71" s="30" t="n"/>
      <c r="V71" s="30" t="n"/>
      <c r="W71" s="30" t="n"/>
      <c r="X71" s="30" t="n"/>
      <c r="Y71" s="30" t="n"/>
      <c r="Z71" s="30" t="n"/>
    </row>
    <row r="72" ht="15.75" customHeight="1" s="134">
      <c r="A72" s="66" t="n"/>
      <c r="B72" s="66" t="n"/>
      <c r="C72" s="66" t="n"/>
      <c r="D72" s="66" t="n"/>
      <c r="E72" s="66" t="n"/>
      <c r="F72" s="66" t="n"/>
      <c r="G72" s="66" t="n"/>
      <c r="H72" s="66" t="n"/>
      <c r="I72" s="30" t="n"/>
      <c r="J72" s="30" t="n"/>
      <c r="K72" s="30" t="n"/>
      <c r="L72" s="30" t="n"/>
      <c r="M72" s="30" t="n"/>
      <c r="N72" s="30" t="n"/>
      <c r="O72" s="30" t="n"/>
      <c r="P72" s="30" t="n"/>
      <c r="Q72" s="30" t="n"/>
      <c r="R72" s="30" t="n"/>
      <c r="S72" s="30" t="n"/>
      <c r="T72" s="30" t="n"/>
      <c r="U72" s="30" t="n"/>
      <c r="V72" s="30" t="n"/>
      <c r="W72" s="30" t="n"/>
      <c r="X72" s="30" t="n"/>
      <c r="Y72" s="30" t="n"/>
      <c r="Z72" s="30" t="n"/>
    </row>
    <row r="73" ht="15.75" customHeight="1" s="134">
      <c r="A73" s="66" t="n"/>
      <c r="B73" s="66" t="n"/>
      <c r="C73" s="66" t="n"/>
      <c r="D73" s="66" t="n"/>
      <c r="E73" s="66" t="n"/>
      <c r="F73" s="66" t="n"/>
      <c r="G73" s="66" t="n"/>
      <c r="H73" s="66" t="n"/>
      <c r="I73" s="30" t="n"/>
      <c r="J73" s="30" t="n"/>
      <c r="K73" s="30" t="n"/>
      <c r="L73" s="30" t="n"/>
      <c r="M73" s="30" t="n"/>
      <c r="N73" s="30" t="n"/>
      <c r="O73" s="30" t="n"/>
      <c r="P73" s="30" t="n"/>
      <c r="Q73" s="30" t="n"/>
      <c r="R73" s="30" t="n"/>
      <c r="S73" s="30" t="n"/>
      <c r="T73" s="30" t="n"/>
      <c r="U73" s="30" t="n"/>
      <c r="V73" s="30" t="n"/>
      <c r="W73" s="30" t="n"/>
      <c r="X73" s="30" t="n"/>
      <c r="Y73" s="30" t="n"/>
      <c r="Z73" s="30" t="n"/>
    </row>
    <row r="74" ht="15.75" customHeight="1" s="13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30" t="n"/>
      <c r="J74" s="30" t="n"/>
      <c r="K74" s="30" t="n"/>
      <c r="L74" s="30" t="n"/>
      <c r="M74" s="30" t="n"/>
      <c r="N74" s="30" t="n"/>
      <c r="O74" s="30" t="n"/>
      <c r="P74" s="30" t="n"/>
      <c r="Q74" s="30" t="n"/>
      <c r="R74" s="30" t="n"/>
      <c r="S74" s="30" t="n"/>
      <c r="T74" s="30" t="n"/>
      <c r="U74" s="30" t="n"/>
      <c r="V74" s="30" t="n"/>
      <c r="W74" s="30" t="n"/>
      <c r="X74" s="30" t="n"/>
      <c r="Y74" s="30" t="n"/>
      <c r="Z74" s="30" t="n"/>
    </row>
    <row r="75" ht="15.75" customHeight="1" s="134">
      <c r="A75" s="66" t="n"/>
      <c r="B75" s="66" t="n"/>
      <c r="C75" s="66" t="n"/>
      <c r="D75" s="66" t="n"/>
      <c r="E75" s="66" t="n"/>
      <c r="F75" s="66" t="n"/>
      <c r="G75" s="66" t="n"/>
      <c r="H75" s="66" t="n"/>
      <c r="I75" s="30" t="n"/>
      <c r="J75" s="30" t="n"/>
      <c r="K75" s="30" t="n"/>
      <c r="L75" s="30" t="n"/>
      <c r="M75" s="30" t="n"/>
      <c r="N75" s="30" t="n"/>
      <c r="O75" s="30" t="n"/>
      <c r="P75" s="30" t="n"/>
      <c r="Q75" s="30" t="n"/>
      <c r="R75" s="30" t="n"/>
      <c r="S75" s="30" t="n"/>
      <c r="T75" s="30" t="n"/>
      <c r="U75" s="30" t="n"/>
      <c r="V75" s="30" t="n"/>
      <c r="W75" s="30" t="n"/>
      <c r="X75" s="30" t="n"/>
      <c r="Y75" s="30" t="n"/>
      <c r="Z75" s="30" t="n"/>
    </row>
    <row r="76" ht="15.75" customHeight="1" s="134">
      <c r="A76" s="66" t="n"/>
      <c r="B76" s="66" t="n"/>
      <c r="C76" s="66" t="n"/>
      <c r="D76" s="66" t="n"/>
      <c r="E76" s="66" t="n"/>
      <c r="F76" s="66" t="n"/>
      <c r="G76" s="66" t="n"/>
      <c r="H76" s="66" t="n"/>
      <c r="I76" s="30" t="n"/>
      <c r="J76" s="30" t="n"/>
      <c r="K76" s="30" t="n"/>
      <c r="L76" s="30" t="n"/>
      <c r="M76" s="30" t="n"/>
      <c r="N76" s="30" t="n"/>
      <c r="O76" s="30" t="n"/>
      <c r="P76" s="30" t="n"/>
      <c r="Q76" s="30" t="n"/>
      <c r="R76" s="30" t="n"/>
      <c r="S76" s="30" t="n"/>
      <c r="T76" s="30" t="n"/>
      <c r="U76" s="30" t="n"/>
      <c r="V76" s="30" t="n"/>
      <c r="W76" s="30" t="n"/>
      <c r="X76" s="30" t="n"/>
      <c r="Y76" s="30" t="n"/>
      <c r="Z76" s="30" t="n"/>
    </row>
    <row r="77" ht="15.75" customHeight="1" s="134">
      <c r="A77" s="66" t="n"/>
      <c r="B77" s="66" t="n"/>
      <c r="C77" s="66" t="n"/>
      <c r="D77" s="66" t="n"/>
      <c r="E77" s="66" t="n"/>
      <c r="F77" s="66" t="n"/>
      <c r="G77" s="66" t="n"/>
      <c r="H77" s="66" t="n"/>
      <c r="I77" s="30" t="n"/>
      <c r="J77" s="30" t="n"/>
      <c r="K77" s="30" t="n"/>
      <c r="L77" s="30" t="n"/>
      <c r="M77" s="30" t="n"/>
      <c r="N77" s="30" t="n"/>
      <c r="O77" s="30" t="n"/>
      <c r="P77" s="30" t="n"/>
      <c r="Q77" s="30" t="n"/>
      <c r="R77" s="30" t="n"/>
      <c r="S77" s="30" t="n"/>
      <c r="T77" s="30" t="n"/>
      <c r="U77" s="30" t="n"/>
      <c r="V77" s="30" t="n"/>
      <c r="W77" s="30" t="n"/>
      <c r="X77" s="30" t="n"/>
      <c r="Y77" s="30" t="n"/>
      <c r="Z77" s="30" t="n"/>
    </row>
    <row r="78" ht="15.75" customHeight="1" s="134">
      <c r="A78" s="66" t="n"/>
      <c r="B78" s="66" t="n"/>
      <c r="C78" s="66" t="n"/>
      <c r="D78" s="66" t="n"/>
      <c r="E78" s="66" t="n"/>
      <c r="F78" s="66" t="n"/>
      <c r="G78" s="66" t="n"/>
      <c r="H78" s="66" t="n"/>
      <c r="I78" s="30" t="n"/>
      <c r="J78" s="30" t="n"/>
      <c r="K78" s="30" t="n"/>
      <c r="L78" s="30" t="n"/>
      <c r="M78" s="30" t="n"/>
      <c r="N78" s="30" t="n"/>
      <c r="O78" s="30" t="n"/>
      <c r="P78" s="30" t="n"/>
      <c r="Q78" s="30" t="n"/>
      <c r="R78" s="30" t="n"/>
      <c r="S78" s="30" t="n"/>
      <c r="T78" s="30" t="n"/>
      <c r="U78" s="30" t="n"/>
      <c r="V78" s="30" t="n"/>
      <c r="W78" s="30" t="n"/>
      <c r="X78" s="30" t="n"/>
      <c r="Y78" s="30" t="n"/>
      <c r="Z78" s="30" t="n"/>
    </row>
    <row r="79" ht="15.75" customHeight="1" s="134">
      <c r="A79" s="66" t="n"/>
      <c r="B79" s="66" t="n"/>
      <c r="C79" s="66" t="n"/>
      <c r="D79" s="66" t="n"/>
      <c r="E79" s="66" t="n"/>
      <c r="F79" s="66" t="n"/>
      <c r="G79" s="66" t="n"/>
      <c r="H79" s="66" t="n"/>
      <c r="I79" s="30" t="n"/>
      <c r="J79" s="30" t="n"/>
      <c r="K79" s="30" t="n"/>
      <c r="L79" s="30" t="n"/>
      <c r="M79" s="30" t="n"/>
      <c r="N79" s="30" t="n"/>
      <c r="O79" s="30" t="n"/>
      <c r="P79" s="30" t="n"/>
      <c r="Q79" s="30" t="n"/>
      <c r="R79" s="30" t="n"/>
      <c r="S79" s="30" t="n"/>
      <c r="T79" s="30" t="n"/>
      <c r="U79" s="30" t="n"/>
      <c r="V79" s="30" t="n"/>
      <c r="W79" s="30" t="n"/>
      <c r="X79" s="30" t="n"/>
      <c r="Y79" s="30" t="n"/>
      <c r="Z79" s="30" t="n"/>
    </row>
    <row r="80" ht="15.75" customHeight="1" s="134">
      <c r="A80" s="66" t="n"/>
      <c r="B80" s="66" t="n"/>
      <c r="C80" s="66" t="n"/>
      <c r="D80" s="66" t="n"/>
      <c r="E80" s="66" t="n"/>
      <c r="F80" s="66" t="n"/>
      <c r="G80" s="66" t="n"/>
      <c r="H80" s="66" t="n"/>
      <c r="I80" s="30" t="n"/>
      <c r="J80" s="30" t="n"/>
      <c r="K80" s="30" t="n"/>
      <c r="L80" s="30" t="n"/>
      <c r="M80" s="30" t="n"/>
      <c r="N80" s="30" t="n"/>
      <c r="O80" s="30" t="n"/>
      <c r="P80" s="30" t="n"/>
      <c r="Q80" s="30" t="n"/>
      <c r="R80" s="30" t="n"/>
      <c r="S80" s="30" t="n"/>
      <c r="T80" s="30" t="n"/>
      <c r="U80" s="30" t="n"/>
      <c r="V80" s="30" t="n"/>
      <c r="W80" s="30" t="n"/>
      <c r="X80" s="30" t="n"/>
      <c r="Y80" s="30" t="n"/>
      <c r="Z80" s="30" t="n"/>
    </row>
    <row r="81" ht="15.75" customHeight="1" s="134">
      <c r="A81" s="66" t="n"/>
      <c r="B81" s="66" t="n"/>
      <c r="C81" s="66" t="n"/>
      <c r="D81" s="66" t="n"/>
      <c r="E81" s="66" t="n"/>
      <c r="F81" s="66" t="n"/>
      <c r="G81" s="66" t="n"/>
      <c r="H81" s="66" t="n"/>
      <c r="I81" s="30" t="n"/>
      <c r="J81" s="30" t="n"/>
      <c r="K81" s="30" t="n"/>
      <c r="L81" s="30" t="n"/>
      <c r="M81" s="30" t="n"/>
      <c r="N81" s="30" t="n"/>
      <c r="O81" s="30" t="n"/>
      <c r="P81" s="30" t="n"/>
      <c r="Q81" s="30" t="n"/>
      <c r="R81" s="30" t="n"/>
      <c r="S81" s="30" t="n"/>
      <c r="T81" s="30" t="n"/>
      <c r="U81" s="30" t="n"/>
      <c r="V81" s="30" t="n"/>
      <c r="W81" s="30" t="n"/>
      <c r="X81" s="30" t="n"/>
      <c r="Y81" s="30" t="n"/>
      <c r="Z81" s="30" t="n"/>
    </row>
    <row r="82" ht="15.75" customHeight="1" s="134">
      <c r="A82" s="66" t="n"/>
      <c r="B82" s="66" t="n"/>
      <c r="C82" s="66" t="n"/>
      <c r="D82" s="66" t="n"/>
      <c r="E82" s="66" t="n"/>
      <c r="F82" s="66" t="n"/>
      <c r="G82" s="66" t="n"/>
      <c r="H82" s="66" t="n"/>
      <c r="I82" s="30" t="n"/>
      <c r="J82" s="30" t="n"/>
      <c r="K82" s="30" t="n"/>
      <c r="L82" s="30" t="n"/>
      <c r="M82" s="30" t="n"/>
      <c r="N82" s="30" t="n"/>
      <c r="O82" s="30" t="n"/>
      <c r="P82" s="30" t="n"/>
      <c r="Q82" s="30" t="n"/>
      <c r="R82" s="30" t="n"/>
      <c r="S82" s="30" t="n"/>
      <c r="T82" s="30" t="n"/>
      <c r="U82" s="30" t="n"/>
      <c r="V82" s="30" t="n"/>
      <c r="W82" s="30" t="n"/>
      <c r="X82" s="30" t="n"/>
      <c r="Y82" s="30" t="n"/>
      <c r="Z82" s="30" t="n"/>
    </row>
    <row r="83" ht="15.75" customHeight="1" s="134">
      <c r="A83" s="66" t="n"/>
      <c r="B83" s="66" t="n"/>
      <c r="C83" s="66" t="n"/>
      <c r="D83" s="66" t="n"/>
      <c r="E83" s="66" t="n"/>
      <c r="F83" s="66" t="n"/>
      <c r="G83" s="66" t="n"/>
      <c r="H83" s="66" t="n"/>
      <c r="I83" s="30" t="n"/>
      <c r="J83" s="30" t="n"/>
      <c r="K83" s="30" t="n"/>
      <c r="L83" s="30" t="n"/>
      <c r="M83" s="30" t="n"/>
      <c r="N83" s="30" t="n"/>
      <c r="O83" s="30" t="n"/>
      <c r="P83" s="30" t="n"/>
      <c r="Q83" s="30" t="n"/>
      <c r="R83" s="30" t="n"/>
      <c r="S83" s="30" t="n"/>
      <c r="T83" s="30" t="n"/>
      <c r="U83" s="30" t="n"/>
      <c r="V83" s="30" t="n"/>
      <c r="W83" s="30" t="n"/>
      <c r="X83" s="30" t="n"/>
      <c r="Y83" s="30" t="n"/>
      <c r="Z83" s="30" t="n"/>
    </row>
    <row r="84" ht="15.75" customHeight="1" s="13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30" t="n"/>
      <c r="J84" s="30" t="n"/>
      <c r="K84" s="30" t="n"/>
      <c r="L84" s="30" t="n"/>
      <c r="M84" s="30" t="n"/>
      <c r="N84" s="30" t="n"/>
      <c r="O84" s="30" t="n"/>
      <c r="P84" s="30" t="n"/>
      <c r="Q84" s="30" t="n"/>
      <c r="R84" s="30" t="n"/>
      <c r="S84" s="30" t="n"/>
      <c r="T84" s="30" t="n"/>
      <c r="U84" s="30" t="n"/>
      <c r="V84" s="30" t="n"/>
      <c r="W84" s="30" t="n"/>
      <c r="X84" s="30" t="n"/>
      <c r="Y84" s="30" t="n"/>
      <c r="Z84" s="30" t="n"/>
    </row>
    <row r="85" ht="15.75" customHeight="1" s="134">
      <c r="A85" s="66" t="n"/>
      <c r="B85" s="66" t="n"/>
      <c r="C85" s="66" t="n"/>
      <c r="D85" s="66" t="n"/>
      <c r="E85" s="66" t="n"/>
      <c r="F85" s="66" t="n"/>
      <c r="G85" s="66" t="n"/>
      <c r="H85" s="66" t="n"/>
      <c r="I85" s="30" t="n"/>
      <c r="J85" s="30" t="n"/>
      <c r="K85" s="30" t="n"/>
      <c r="L85" s="30" t="n"/>
      <c r="M85" s="30" t="n"/>
      <c r="N85" s="30" t="n"/>
      <c r="O85" s="30" t="n"/>
      <c r="P85" s="30" t="n"/>
      <c r="Q85" s="30" t="n"/>
      <c r="R85" s="30" t="n"/>
      <c r="S85" s="30" t="n"/>
      <c r="T85" s="30" t="n"/>
      <c r="U85" s="30" t="n"/>
      <c r="V85" s="30" t="n"/>
      <c r="W85" s="30" t="n"/>
      <c r="X85" s="30" t="n"/>
      <c r="Y85" s="30" t="n"/>
      <c r="Z85" s="30" t="n"/>
    </row>
    <row r="86" ht="15.75" customHeight="1" s="134">
      <c r="A86" s="66" t="n"/>
      <c r="B86" s="66" t="n"/>
      <c r="C86" s="66" t="n"/>
      <c r="D86" s="66" t="n"/>
      <c r="E86" s="66" t="n"/>
      <c r="F86" s="66" t="n"/>
      <c r="G86" s="66" t="n"/>
      <c r="H86" s="66" t="n"/>
      <c r="I86" s="30" t="n"/>
      <c r="J86" s="30" t="n"/>
      <c r="K86" s="30" t="n"/>
      <c r="L86" s="30" t="n"/>
      <c r="M86" s="30" t="n"/>
      <c r="N86" s="30" t="n"/>
      <c r="O86" s="30" t="n"/>
      <c r="P86" s="30" t="n"/>
      <c r="Q86" s="30" t="n"/>
      <c r="R86" s="30" t="n"/>
      <c r="S86" s="30" t="n"/>
      <c r="T86" s="30" t="n"/>
      <c r="U86" s="30" t="n"/>
      <c r="V86" s="30" t="n"/>
      <c r="W86" s="30" t="n"/>
      <c r="X86" s="30" t="n"/>
      <c r="Y86" s="30" t="n"/>
      <c r="Z86" s="30" t="n"/>
    </row>
    <row r="87" ht="15.75" customHeight="1" s="134">
      <c r="A87" s="66" t="n"/>
      <c r="B87" s="66" t="n"/>
      <c r="C87" s="66" t="n"/>
      <c r="D87" s="66" t="n"/>
      <c r="E87" s="66" t="n"/>
      <c r="F87" s="66" t="n"/>
      <c r="G87" s="66" t="n"/>
      <c r="H87" s="66" t="n"/>
      <c r="I87" s="30" t="n"/>
      <c r="J87" s="30" t="n"/>
      <c r="K87" s="30" t="n"/>
      <c r="L87" s="30" t="n"/>
      <c r="M87" s="30" t="n"/>
      <c r="N87" s="30" t="n"/>
      <c r="O87" s="30" t="n"/>
      <c r="P87" s="30" t="n"/>
      <c r="Q87" s="30" t="n"/>
      <c r="R87" s="30" t="n"/>
      <c r="S87" s="30" t="n"/>
      <c r="T87" s="30" t="n"/>
      <c r="U87" s="30" t="n"/>
      <c r="V87" s="30" t="n"/>
      <c r="W87" s="30" t="n"/>
      <c r="X87" s="30" t="n"/>
      <c r="Y87" s="30" t="n"/>
      <c r="Z87" s="30" t="n"/>
    </row>
    <row r="88" ht="15.75" customHeight="1" s="134">
      <c r="A88" s="66" t="n"/>
      <c r="B88" s="66" t="n"/>
      <c r="C88" s="66" t="n"/>
      <c r="D88" s="66" t="n"/>
      <c r="E88" s="66" t="n"/>
      <c r="F88" s="66" t="n"/>
      <c r="G88" s="66" t="n"/>
      <c r="H88" s="66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  <c r="X88" s="30" t="n"/>
      <c r="Y88" s="30" t="n"/>
      <c r="Z88" s="30" t="n"/>
    </row>
    <row r="89" ht="15.75" customHeight="1" s="134">
      <c r="A89" s="66" t="n"/>
      <c r="B89" s="66" t="n"/>
      <c r="C89" s="66" t="n"/>
      <c r="D89" s="66" t="n"/>
      <c r="E89" s="66" t="n"/>
      <c r="F89" s="66" t="n"/>
      <c r="G89" s="66" t="n"/>
      <c r="H89" s="66" t="n"/>
      <c r="I89" s="30" t="n"/>
      <c r="J89" s="30" t="n"/>
      <c r="K89" s="30" t="n"/>
      <c r="L89" s="30" t="n"/>
      <c r="M89" s="30" t="n"/>
      <c r="N89" s="30" t="n"/>
      <c r="O89" s="30" t="n"/>
      <c r="P89" s="30" t="n"/>
      <c r="Q89" s="30" t="n"/>
      <c r="R89" s="30" t="n"/>
      <c r="S89" s="30" t="n"/>
      <c r="T89" s="30" t="n"/>
      <c r="U89" s="30" t="n"/>
      <c r="V89" s="30" t="n"/>
      <c r="W89" s="30" t="n"/>
      <c r="X89" s="30" t="n"/>
      <c r="Y89" s="30" t="n"/>
      <c r="Z89" s="30" t="n"/>
    </row>
    <row r="90" ht="15.75" customHeight="1" s="134">
      <c r="A90" s="66" t="n"/>
      <c r="B90" s="66" t="n"/>
      <c r="C90" s="66" t="n"/>
      <c r="D90" s="66" t="n"/>
      <c r="E90" s="66" t="n"/>
      <c r="F90" s="66" t="n"/>
      <c r="G90" s="66" t="n"/>
      <c r="H90" s="66" t="n"/>
      <c r="I90" s="30" t="n"/>
      <c r="J90" s="30" t="n"/>
      <c r="K90" s="30" t="n"/>
      <c r="L90" s="30" t="n"/>
      <c r="M90" s="30" t="n"/>
      <c r="N90" s="30" t="n"/>
      <c r="O90" s="30" t="n"/>
      <c r="P90" s="30" t="n"/>
      <c r="Q90" s="30" t="n"/>
      <c r="R90" s="30" t="n"/>
      <c r="S90" s="30" t="n"/>
      <c r="T90" s="30" t="n"/>
      <c r="U90" s="30" t="n"/>
      <c r="V90" s="30" t="n"/>
      <c r="W90" s="30" t="n"/>
      <c r="X90" s="30" t="n"/>
      <c r="Y90" s="30" t="n"/>
      <c r="Z90" s="30" t="n"/>
    </row>
    <row r="91" ht="15.75" customHeight="1" s="134">
      <c r="A91" s="66" t="n"/>
      <c r="B91" s="66" t="n"/>
      <c r="C91" s="66" t="n"/>
      <c r="D91" s="66" t="n"/>
      <c r="E91" s="66" t="n"/>
      <c r="F91" s="66" t="n"/>
      <c r="G91" s="66" t="n"/>
      <c r="H91" s="66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0" t="n"/>
      <c r="R91" s="30" t="n"/>
      <c r="S91" s="30" t="n"/>
      <c r="T91" s="30" t="n"/>
      <c r="U91" s="30" t="n"/>
      <c r="V91" s="30" t="n"/>
      <c r="W91" s="30" t="n"/>
      <c r="X91" s="30" t="n"/>
      <c r="Y91" s="30" t="n"/>
      <c r="Z91" s="30" t="n"/>
    </row>
    <row r="92" ht="15.75" customHeight="1" s="134">
      <c r="A92" s="66" t="n"/>
      <c r="B92" s="66" t="n"/>
      <c r="C92" s="66" t="n"/>
      <c r="D92" s="66" t="n"/>
      <c r="E92" s="66" t="n"/>
      <c r="F92" s="66" t="n"/>
      <c r="G92" s="66" t="n"/>
      <c r="H92" s="66" t="n"/>
      <c r="I92" s="30" t="n"/>
      <c r="J92" s="30" t="n"/>
      <c r="K92" s="30" t="n"/>
      <c r="L92" s="30" t="n"/>
      <c r="M92" s="30" t="n"/>
      <c r="N92" s="30" t="n"/>
      <c r="O92" s="30" t="n"/>
      <c r="P92" s="30" t="n"/>
      <c r="Q92" s="30" t="n"/>
      <c r="R92" s="30" t="n"/>
      <c r="S92" s="30" t="n"/>
      <c r="T92" s="30" t="n"/>
      <c r="U92" s="30" t="n"/>
      <c r="V92" s="30" t="n"/>
      <c r="W92" s="30" t="n"/>
      <c r="X92" s="30" t="n"/>
      <c r="Y92" s="30" t="n"/>
      <c r="Z92" s="30" t="n"/>
    </row>
    <row r="93" ht="15.75" customHeight="1" s="134">
      <c r="A93" s="66" t="n"/>
      <c r="B93" s="66" t="n"/>
      <c r="C93" s="66" t="n"/>
      <c r="D93" s="66" t="n"/>
      <c r="E93" s="66" t="n"/>
      <c r="F93" s="66" t="n"/>
      <c r="G93" s="66" t="n"/>
      <c r="H93" s="66" t="n"/>
      <c r="I93" s="30" t="n"/>
      <c r="J93" s="30" t="n"/>
      <c r="K93" s="30" t="n"/>
      <c r="L93" s="30" t="n"/>
      <c r="M93" s="30" t="n"/>
      <c r="N93" s="30" t="n"/>
      <c r="O93" s="30" t="n"/>
      <c r="P93" s="30" t="n"/>
      <c r="Q93" s="30" t="n"/>
      <c r="R93" s="30" t="n"/>
      <c r="S93" s="30" t="n"/>
      <c r="T93" s="30" t="n"/>
      <c r="U93" s="30" t="n"/>
      <c r="V93" s="30" t="n"/>
      <c r="W93" s="30" t="n"/>
      <c r="X93" s="30" t="n"/>
      <c r="Y93" s="30" t="n"/>
      <c r="Z93" s="30" t="n"/>
    </row>
    <row r="94" ht="15.75" customHeight="1" s="13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30" t="n"/>
      <c r="J94" s="30" t="n"/>
      <c r="K94" s="30" t="n"/>
      <c r="L94" s="30" t="n"/>
      <c r="M94" s="30" t="n"/>
      <c r="N94" s="30" t="n"/>
      <c r="O94" s="30" t="n"/>
      <c r="P94" s="30" t="n"/>
      <c r="Q94" s="30" t="n"/>
      <c r="R94" s="30" t="n"/>
      <c r="S94" s="30" t="n"/>
      <c r="T94" s="30" t="n"/>
      <c r="U94" s="30" t="n"/>
      <c r="V94" s="30" t="n"/>
      <c r="W94" s="30" t="n"/>
      <c r="X94" s="30" t="n"/>
      <c r="Y94" s="30" t="n"/>
      <c r="Z94" s="30" t="n"/>
    </row>
    <row r="95" ht="15.75" customHeight="1" s="134">
      <c r="A95" s="66" t="n"/>
      <c r="B95" s="66" t="n"/>
      <c r="C95" s="66" t="n"/>
      <c r="D95" s="66" t="n"/>
      <c r="E95" s="66" t="n"/>
      <c r="F95" s="66" t="n"/>
      <c r="G95" s="66" t="n"/>
      <c r="H95" s="66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  <c r="Z95" s="30" t="n"/>
    </row>
    <row r="96" ht="15.75" customHeight="1" s="134">
      <c r="A96" s="66" t="n"/>
      <c r="B96" s="66" t="n"/>
      <c r="C96" s="66" t="n"/>
      <c r="D96" s="66" t="n"/>
      <c r="E96" s="66" t="n"/>
      <c r="F96" s="66" t="n"/>
      <c r="G96" s="66" t="n"/>
      <c r="H96" s="66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0" t="n"/>
      <c r="W96" s="30" t="n"/>
      <c r="X96" s="30" t="n"/>
      <c r="Y96" s="30" t="n"/>
      <c r="Z96" s="30" t="n"/>
    </row>
    <row r="97" ht="15.75" customHeight="1" s="134">
      <c r="A97" s="66" t="n"/>
      <c r="B97" s="66" t="n"/>
      <c r="C97" s="66" t="n"/>
      <c r="D97" s="66" t="n"/>
      <c r="E97" s="66" t="n"/>
      <c r="F97" s="66" t="n"/>
      <c r="G97" s="66" t="n"/>
      <c r="H97" s="66" t="n"/>
      <c r="I97" s="30" t="n"/>
      <c r="J97" s="30" t="n"/>
      <c r="K97" s="30" t="n"/>
      <c r="L97" s="30" t="n"/>
      <c r="M97" s="30" t="n"/>
      <c r="N97" s="30" t="n"/>
      <c r="O97" s="30" t="n"/>
      <c r="P97" s="30" t="n"/>
      <c r="Q97" s="30" t="n"/>
      <c r="R97" s="30" t="n"/>
      <c r="S97" s="30" t="n"/>
      <c r="T97" s="30" t="n"/>
      <c r="U97" s="30" t="n"/>
      <c r="V97" s="30" t="n"/>
      <c r="W97" s="30" t="n"/>
      <c r="X97" s="30" t="n"/>
      <c r="Y97" s="30" t="n"/>
      <c r="Z97" s="30" t="n"/>
    </row>
    <row r="98" ht="15.75" customHeight="1" s="134">
      <c r="A98" s="66" t="n"/>
      <c r="B98" s="66" t="n"/>
      <c r="C98" s="66" t="n"/>
      <c r="D98" s="66" t="n"/>
      <c r="E98" s="66" t="n"/>
      <c r="F98" s="66" t="n"/>
      <c r="G98" s="66" t="n"/>
      <c r="H98" s="66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0" t="n"/>
      <c r="W98" s="30" t="n"/>
      <c r="X98" s="30" t="n"/>
      <c r="Y98" s="30" t="n"/>
      <c r="Z98" s="30" t="n"/>
    </row>
    <row r="99" ht="15.75" customHeight="1" s="134">
      <c r="A99" s="66" t="n"/>
      <c r="B99" s="66" t="n"/>
      <c r="C99" s="66" t="n"/>
      <c r="D99" s="66" t="n"/>
      <c r="E99" s="66" t="n"/>
      <c r="F99" s="66" t="n"/>
      <c r="G99" s="66" t="n"/>
      <c r="H99" s="66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0" t="n"/>
      <c r="W99" s="30" t="n"/>
      <c r="X99" s="30" t="n"/>
      <c r="Y99" s="30" t="n"/>
      <c r="Z99" s="30" t="n"/>
    </row>
    <row r="100" ht="15.75" customHeight="1" s="134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30" t="n"/>
      <c r="J100" s="30" t="n"/>
      <c r="K100" s="30" t="n"/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/>
      <c r="U100" s="30" t="n"/>
      <c r="V100" s="30" t="n"/>
      <c r="W100" s="30" t="n"/>
      <c r="X100" s="30" t="n"/>
      <c r="Y100" s="30" t="n"/>
      <c r="Z100" s="30" t="n"/>
    </row>
    <row r="101" ht="15.75" customHeight="1" s="134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/>
      <c r="U101" s="30" t="n"/>
      <c r="V101" s="30" t="n"/>
      <c r="W101" s="30" t="n"/>
      <c r="X101" s="30" t="n"/>
      <c r="Y101" s="30" t="n"/>
      <c r="Z101" s="30" t="n"/>
    </row>
    <row r="102" ht="15.75" customHeight="1" s="134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30" t="n"/>
      <c r="J102" s="30" t="n"/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n"/>
      <c r="U102" s="30" t="n"/>
      <c r="V102" s="30" t="n"/>
      <c r="W102" s="30" t="n"/>
      <c r="X102" s="30" t="n"/>
      <c r="Y102" s="30" t="n"/>
      <c r="Z102" s="30" t="n"/>
    </row>
    <row r="103" ht="15.75" customHeight="1" s="134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30" t="n"/>
      <c r="J103" s="30" t="n"/>
      <c r="K103" s="30" t="n"/>
      <c r="L103" s="30" t="n"/>
      <c r="M103" s="30" t="n"/>
      <c r="N103" s="30" t="n"/>
      <c r="O103" s="30" t="n"/>
      <c r="P103" s="30" t="n"/>
      <c r="Q103" s="30" t="n"/>
      <c r="R103" s="30" t="n"/>
      <c r="S103" s="30" t="n"/>
      <c r="T103" s="30" t="n"/>
      <c r="U103" s="30" t="n"/>
      <c r="V103" s="30" t="n"/>
      <c r="W103" s="30" t="n"/>
      <c r="X103" s="30" t="n"/>
      <c r="Y103" s="30" t="n"/>
      <c r="Z103" s="30" t="n"/>
    </row>
    <row r="104" ht="15.75" customHeight="1" s="13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30" t="n"/>
      <c r="J104" s="30" t="n"/>
      <c r="K104" s="30" t="n"/>
      <c r="L104" s="30" t="n"/>
      <c r="M104" s="30" t="n"/>
      <c r="N104" s="30" t="n"/>
      <c r="O104" s="30" t="n"/>
      <c r="P104" s="30" t="n"/>
      <c r="Q104" s="30" t="n"/>
      <c r="R104" s="30" t="n"/>
      <c r="S104" s="30" t="n"/>
      <c r="T104" s="30" t="n"/>
      <c r="U104" s="30" t="n"/>
      <c r="V104" s="30" t="n"/>
      <c r="W104" s="30" t="n"/>
      <c r="X104" s="30" t="n"/>
      <c r="Y104" s="30" t="n"/>
      <c r="Z104" s="30" t="n"/>
    </row>
    <row r="105" ht="15.75" customHeight="1" s="134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30" t="n"/>
      <c r="J105" s="30" t="n"/>
      <c r="K105" s="30" t="n"/>
      <c r="L105" s="30" t="n"/>
      <c r="M105" s="30" t="n"/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30" t="n"/>
      <c r="W105" s="30" t="n"/>
      <c r="X105" s="30" t="n"/>
      <c r="Y105" s="30" t="n"/>
      <c r="Z105" s="30" t="n"/>
    </row>
    <row r="106" ht="15.75" customHeight="1" s="134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30" t="n"/>
      <c r="J106" s="30" t="n"/>
      <c r="K106" s="30" t="n"/>
      <c r="L106" s="30" t="n"/>
      <c r="M106" s="30" t="n"/>
      <c r="N106" s="30" t="n"/>
      <c r="O106" s="30" t="n"/>
      <c r="P106" s="30" t="n"/>
      <c r="Q106" s="30" t="n"/>
      <c r="R106" s="30" t="n"/>
      <c r="S106" s="30" t="n"/>
      <c r="T106" s="30" t="n"/>
      <c r="U106" s="30" t="n"/>
      <c r="V106" s="30" t="n"/>
      <c r="W106" s="30" t="n"/>
      <c r="X106" s="30" t="n"/>
      <c r="Y106" s="30" t="n"/>
      <c r="Z106" s="30" t="n"/>
    </row>
    <row r="107" ht="15.75" customHeight="1" s="134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30" t="n"/>
      <c r="J107" s="30" t="n"/>
      <c r="K107" s="30" t="n"/>
      <c r="L107" s="30" t="n"/>
      <c r="M107" s="30" t="n"/>
      <c r="N107" s="30" t="n"/>
      <c r="O107" s="30" t="n"/>
      <c r="P107" s="30" t="n"/>
      <c r="Q107" s="30" t="n"/>
      <c r="R107" s="30" t="n"/>
      <c r="S107" s="30" t="n"/>
      <c r="T107" s="30" t="n"/>
      <c r="U107" s="30" t="n"/>
      <c r="V107" s="30" t="n"/>
      <c r="W107" s="30" t="n"/>
      <c r="X107" s="30" t="n"/>
      <c r="Y107" s="30" t="n"/>
      <c r="Z107" s="30" t="n"/>
    </row>
    <row r="108" ht="15.75" customHeight="1" s="134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30" t="n"/>
      <c r="J108" s="30" t="n"/>
      <c r="K108" s="30" t="n"/>
      <c r="L108" s="30" t="n"/>
      <c r="M108" s="30" t="n"/>
      <c r="N108" s="30" t="n"/>
      <c r="O108" s="30" t="n"/>
      <c r="P108" s="30" t="n"/>
      <c r="Q108" s="30" t="n"/>
      <c r="R108" s="30" t="n"/>
      <c r="S108" s="30" t="n"/>
      <c r="T108" s="30" t="n"/>
      <c r="U108" s="30" t="n"/>
      <c r="V108" s="30" t="n"/>
      <c r="W108" s="30" t="n"/>
      <c r="X108" s="30" t="n"/>
      <c r="Y108" s="30" t="n"/>
      <c r="Z108" s="30" t="n"/>
    </row>
    <row r="109" ht="15.75" customHeight="1" s="134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30" t="n"/>
      <c r="J109" s="30" t="n"/>
      <c r="K109" s="30" t="n"/>
      <c r="L109" s="30" t="n"/>
      <c r="M109" s="30" t="n"/>
      <c r="N109" s="30" t="n"/>
      <c r="O109" s="30" t="n"/>
      <c r="P109" s="30" t="n"/>
      <c r="Q109" s="30" t="n"/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</row>
    <row r="110" ht="15.75" customHeight="1" s="134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30" t="n"/>
      <c r="J110" s="30" t="n"/>
      <c r="K110" s="30" t="n"/>
      <c r="L110" s="30" t="n"/>
      <c r="M110" s="30" t="n"/>
      <c r="N110" s="30" t="n"/>
      <c r="O110" s="30" t="n"/>
      <c r="P110" s="30" t="n"/>
      <c r="Q110" s="30" t="n"/>
      <c r="R110" s="30" t="n"/>
      <c r="S110" s="30" t="n"/>
      <c r="T110" s="30" t="n"/>
      <c r="U110" s="30" t="n"/>
      <c r="V110" s="30" t="n"/>
      <c r="W110" s="30" t="n"/>
      <c r="X110" s="30" t="n"/>
      <c r="Y110" s="30" t="n"/>
      <c r="Z110" s="30" t="n"/>
    </row>
    <row r="111" ht="15.75" customHeight="1" s="134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30" t="n"/>
      <c r="J111" s="30" t="n"/>
      <c r="K111" s="30" t="n"/>
      <c r="L111" s="30" t="n"/>
      <c r="M111" s="30" t="n"/>
      <c r="N111" s="30" t="n"/>
      <c r="O111" s="30" t="n"/>
      <c r="P111" s="30" t="n"/>
      <c r="Q111" s="30" t="n"/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</row>
    <row r="112" ht="15.75" customHeight="1" s="134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30" t="n"/>
      <c r="J112" s="30" t="n"/>
      <c r="K112" s="30" t="n"/>
      <c r="L112" s="30" t="n"/>
      <c r="M112" s="30" t="n"/>
      <c r="N112" s="30" t="n"/>
      <c r="O112" s="30" t="n"/>
      <c r="P112" s="30" t="n"/>
      <c r="Q112" s="30" t="n"/>
      <c r="R112" s="30" t="n"/>
      <c r="S112" s="30" t="n"/>
      <c r="T112" s="30" t="n"/>
      <c r="U112" s="30" t="n"/>
      <c r="V112" s="30" t="n"/>
      <c r="W112" s="30" t="n"/>
      <c r="X112" s="30" t="n"/>
      <c r="Y112" s="30" t="n"/>
      <c r="Z112" s="30" t="n"/>
    </row>
    <row r="113" ht="15.75" customHeight="1" s="134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30" t="n"/>
      <c r="J113" s="30" t="n"/>
      <c r="K113" s="30" t="n"/>
      <c r="L113" s="30" t="n"/>
      <c r="M113" s="30" t="n"/>
      <c r="N113" s="30" t="n"/>
      <c r="O113" s="30" t="n"/>
      <c r="P113" s="30" t="n"/>
      <c r="Q113" s="30" t="n"/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</row>
    <row r="114" ht="15.75" customHeight="1" s="13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30" t="n"/>
      <c r="J114" s="30" t="n"/>
      <c r="K114" s="30" t="n"/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30" t="n"/>
      <c r="W114" s="30" t="n"/>
      <c r="X114" s="30" t="n"/>
      <c r="Y114" s="30" t="n"/>
      <c r="Z114" s="30" t="n"/>
    </row>
    <row r="115" ht="15.75" customHeight="1" s="134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30" t="n"/>
      <c r="J115" s="30" t="n"/>
      <c r="K115" s="30" t="n"/>
      <c r="L115" s="30" t="n"/>
      <c r="M115" s="30" t="n"/>
      <c r="N115" s="30" t="n"/>
      <c r="O115" s="30" t="n"/>
      <c r="P115" s="30" t="n"/>
      <c r="Q115" s="30" t="n"/>
      <c r="R115" s="30" t="n"/>
      <c r="S115" s="30" t="n"/>
      <c r="T115" s="30" t="n"/>
      <c r="U115" s="30" t="n"/>
      <c r="V115" s="30" t="n"/>
      <c r="W115" s="30" t="n"/>
      <c r="X115" s="30" t="n"/>
      <c r="Y115" s="30" t="n"/>
      <c r="Z115" s="30" t="n"/>
    </row>
    <row r="116" ht="15.75" customHeight="1" s="134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30" t="n"/>
      <c r="J116" s="30" t="n"/>
      <c r="K116" s="30" t="n"/>
      <c r="L116" s="30" t="n"/>
      <c r="M116" s="30" t="n"/>
      <c r="N116" s="30" t="n"/>
      <c r="O116" s="30" t="n"/>
      <c r="P116" s="30" t="n"/>
      <c r="Q116" s="30" t="n"/>
      <c r="R116" s="30" t="n"/>
      <c r="S116" s="30" t="n"/>
      <c r="T116" s="30" t="n"/>
      <c r="U116" s="30" t="n"/>
      <c r="V116" s="30" t="n"/>
      <c r="W116" s="30" t="n"/>
      <c r="X116" s="30" t="n"/>
      <c r="Y116" s="30" t="n"/>
      <c r="Z116" s="30" t="n"/>
    </row>
    <row r="117" ht="15.75" customHeight="1" s="134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30" t="n"/>
      <c r="J117" s="30" t="n"/>
      <c r="K117" s="30" t="n"/>
      <c r="L117" s="30" t="n"/>
      <c r="M117" s="30" t="n"/>
      <c r="N117" s="30" t="n"/>
      <c r="O117" s="30" t="n"/>
      <c r="P117" s="30" t="n"/>
      <c r="Q117" s="30" t="n"/>
      <c r="R117" s="30" t="n"/>
      <c r="S117" s="30" t="n"/>
      <c r="T117" s="30" t="n"/>
      <c r="U117" s="30" t="n"/>
      <c r="V117" s="30" t="n"/>
      <c r="W117" s="30" t="n"/>
      <c r="X117" s="30" t="n"/>
      <c r="Y117" s="30" t="n"/>
      <c r="Z117" s="30" t="n"/>
    </row>
    <row r="118" ht="15.75" customHeight="1" s="134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30" t="n"/>
      <c r="J118" s="30" t="n"/>
      <c r="K118" s="30" t="n"/>
      <c r="L118" s="30" t="n"/>
      <c r="M118" s="30" t="n"/>
      <c r="N118" s="30" t="n"/>
      <c r="O118" s="30" t="n"/>
      <c r="P118" s="30" t="n"/>
      <c r="Q118" s="30" t="n"/>
      <c r="R118" s="30" t="n"/>
      <c r="S118" s="30" t="n"/>
      <c r="T118" s="30" t="n"/>
      <c r="U118" s="30" t="n"/>
      <c r="V118" s="30" t="n"/>
      <c r="W118" s="30" t="n"/>
      <c r="X118" s="30" t="n"/>
      <c r="Y118" s="30" t="n"/>
      <c r="Z118" s="30" t="n"/>
    </row>
    <row r="119" ht="15.75" customHeight="1" s="134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30" t="n"/>
      <c r="J119" s="30" t="n"/>
      <c r="K119" s="30" t="n"/>
      <c r="L119" s="30" t="n"/>
      <c r="M119" s="30" t="n"/>
      <c r="N119" s="30" t="n"/>
      <c r="O119" s="30" t="n"/>
      <c r="P119" s="30" t="n"/>
      <c r="Q119" s="30" t="n"/>
      <c r="R119" s="30" t="n"/>
      <c r="S119" s="30" t="n"/>
      <c r="T119" s="30" t="n"/>
      <c r="U119" s="30" t="n"/>
      <c r="V119" s="30" t="n"/>
      <c r="W119" s="30" t="n"/>
      <c r="X119" s="30" t="n"/>
      <c r="Y119" s="30" t="n"/>
      <c r="Z119" s="30" t="n"/>
    </row>
    <row r="120" ht="15.75" customHeight="1" s="134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30" t="n"/>
      <c r="J120" s="30" t="n"/>
      <c r="K120" s="30" t="n"/>
      <c r="L120" s="30" t="n"/>
      <c r="M120" s="30" t="n"/>
      <c r="N120" s="30" t="n"/>
      <c r="O120" s="30" t="n"/>
      <c r="P120" s="30" t="n"/>
      <c r="Q120" s="30" t="n"/>
      <c r="R120" s="30" t="n"/>
      <c r="S120" s="30" t="n"/>
      <c r="T120" s="30" t="n"/>
      <c r="U120" s="30" t="n"/>
      <c r="V120" s="30" t="n"/>
      <c r="W120" s="30" t="n"/>
      <c r="X120" s="30" t="n"/>
      <c r="Y120" s="30" t="n"/>
      <c r="Z120" s="30" t="n"/>
    </row>
    <row r="121" ht="15.75" customHeight="1" s="134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30" t="n"/>
      <c r="J121" s="30" t="n"/>
      <c r="K121" s="30" t="n"/>
      <c r="L121" s="30" t="n"/>
      <c r="M121" s="30" t="n"/>
      <c r="N121" s="30" t="n"/>
      <c r="O121" s="30" t="n"/>
      <c r="P121" s="30" t="n"/>
      <c r="Q121" s="30" t="n"/>
      <c r="R121" s="30" t="n"/>
      <c r="S121" s="30" t="n"/>
      <c r="T121" s="30" t="n"/>
      <c r="U121" s="30" t="n"/>
      <c r="V121" s="30" t="n"/>
      <c r="W121" s="30" t="n"/>
      <c r="X121" s="30" t="n"/>
      <c r="Y121" s="30" t="n"/>
      <c r="Z121" s="30" t="n"/>
    </row>
    <row r="122" ht="15.75" customHeight="1" s="134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30" t="n"/>
      <c r="J122" s="30" t="n"/>
      <c r="K122" s="30" t="n"/>
      <c r="L122" s="30" t="n"/>
      <c r="M122" s="30" t="n"/>
      <c r="N122" s="30" t="n"/>
      <c r="O122" s="30" t="n"/>
      <c r="P122" s="30" t="n"/>
      <c r="Q122" s="30" t="n"/>
      <c r="R122" s="30" t="n"/>
      <c r="S122" s="30" t="n"/>
      <c r="T122" s="30" t="n"/>
      <c r="U122" s="30" t="n"/>
      <c r="V122" s="30" t="n"/>
      <c r="W122" s="30" t="n"/>
      <c r="X122" s="30" t="n"/>
      <c r="Y122" s="30" t="n"/>
      <c r="Z122" s="30" t="n"/>
    </row>
    <row r="123" ht="15.75" customHeight="1" s="134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30" t="n"/>
      <c r="J123" s="30" t="n"/>
      <c r="K123" s="30" t="n"/>
      <c r="L123" s="30" t="n"/>
      <c r="M123" s="30" t="n"/>
      <c r="N123" s="30" t="n"/>
      <c r="O123" s="30" t="n"/>
      <c r="P123" s="30" t="n"/>
      <c r="Q123" s="30" t="n"/>
      <c r="R123" s="30" t="n"/>
      <c r="S123" s="30" t="n"/>
      <c r="T123" s="30" t="n"/>
      <c r="U123" s="30" t="n"/>
      <c r="V123" s="30" t="n"/>
      <c r="W123" s="30" t="n"/>
      <c r="X123" s="30" t="n"/>
      <c r="Y123" s="30" t="n"/>
      <c r="Z123" s="30" t="n"/>
    </row>
    <row r="124" ht="15.75" customHeight="1" s="13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30" t="n"/>
      <c r="J124" s="30" t="n"/>
      <c r="K124" s="30" t="n"/>
      <c r="L124" s="30" t="n"/>
      <c r="M124" s="30" t="n"/>
      <c r="N124" s="30" t="n"/>
      <c r="O124" s="30" t="n"/>
      <c r="P124" s="30" t="n"/>
      <c r="Q124" s="30" t="n"/>
      <c r="R124" s="30" t="n"/>
      <c r="S124" s="30" t="n"/>
      <c r="T124" s="30" t="n"/>
      <c r="U124" s="30" t="n"/>
      <c r="V124" s="30" t="n"/>
      <c r="W124" s="30" t="n"/>
      <c r="X124" s="30" t="n"/>
      <c r="Y124" s="30" t="n"/>
      <c r="Z124" s="30" t="n"/>
    </row>
    <row r="125" ht="15.75" customHeight="1" s="134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30" t="n"/>
      <c r="J125" s="30" t="n"/>
      <c r="K125" s="30" t="n"/>
      <c r="L125" s="30" t="n"/>
      <c r="M125" s="30" t="n"/>
      <c r="N125" s="30" t="n"/>
      <c r="O125" s="30" t="n"/>
      <c r="P125" s="30" t="n"/>
      <c r="Q125" s="30" t="n"/>
      <c r="R125" s="30" t="n"/>
      <c r="S125" s="30" t="n"/>
      <c r="T125" s="30" t="n"/>
      <c r="U125" s="30" t="n"/>
      <c r="V125" s="30" t="n"/>
      <c r="W125" s="30" t="n"/>
      <c r="X125" s="30" t="n"/>
      <c r="Y125" s="30" t="n"/>
      <c r="Z125" s="30" t="n"/>
    </row>
    <row r="126" ht="15.75" customHeight="1" s="134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30" t="n"/>
      <c r="J126" s="30" t="n"/>
      <c r="K126" s="30" t="n"/>
      <c r="L126" s="30" t="n"/>
      <c r="M126" s="30" t="n"/>
      <c r="N126" s="30" t="n"/>
      <c r="O126" s="30" t="n"/>
      <c r="P126" s="30" t="n"/>
      <c r="Q126" s="30" t="n"/>
      <c r="R126" s="30" t="n"/>
      <c r="S126" s="30" t="n"/>
      <c r="T126" s="30" t="n"/>
      <c r="U126" s="30" t="n"/>
      <c r="V126" s="30" t="n"/>
      <c r="W126" s="30" t="n"/>
      <c r="X126" s="30" t="n"/>
      <c r="Y126" s="30" t="n"/>
      <c r="Z126" s="30" t="n"/>
    </row>
    <row r="127" ht="15.75" customHeight="1" s="134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30" t="n"/>
      <c r="J127" s="30" t="n"/>
      <c r="K127" s="30" t="n"/>
      <c r="L127" s="30" t="n"/>
      <c r="M127" s="30" t="n"/>
      <c r="N127" s="30" t="n"/>
      <c r="O127" s="30" t="n"/>
      <c r="P127" s="30" t="n"/>
      <c r="Q127" s="30" t="n"/>
      <c r="R127" s="30" t="n"/>
      <c r="S127" s="30" t="n"/>
      <c r="T127" s="30" t="n"/>
      <c r="U127" s="30" t="n"/>
      <c r="V127" s="30" t="n"/>
      <c r="W127" s="30" t="n"/>
      <c r="X127" s="30" t="n"/>
      <c r="Y127" s="30" t="n"/>
      <c r="Z127" s="30" t="n"/>
    </row>
    <row r="128" ht="15.75" customHeight="1" s="134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30" t="n"/>
      <c r="J128" s="30" t="n"/>
      <c r="K128" s="30" t="n"/>
      <c r="L128" s="30" t="n"/>
      <c r="M128" s="30" t="n"/>
      <c r="N128" s="30" t="n"/>
      <c r="O128" s="30" t="n"/>
      <c r="P128" s="30" t="n"/>
      <c r="Q128" s="30" t="n"/>
      <c r="R128" s="30" t="n"/>
      <c r="S128" s="30" t="n"/>
      <c r="T128" s="30" t="n"/>
      <c r="U128" s="30" t="n"/>
      <c r="V128" s="30" t="n"/>
      <c r="W128" s="30" t="n"/>
      <c r="X128" s="30" t="n"/>
      <c r="Y128" s="30" t="n"/>
      <c r="Z128" s="30" t="n"/>
    </row>
    <row r="129" ht="15.75" customHeight="1" s="134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30" t="n"/>
      <c r="J129" s="30" t="n"/>
      <c r="K129" s="30" t="n"/>
      <c r="L129" s="30" t="n"/>
      <c r="M129" s="30" t="n"/>
      <c r="N129" s="30" t="n"/>
      <c r="O129" s="30" t="n"/>
      <c r="P129" s="30" t="n"/>
      <c r="Q129" s="30" t="n"/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</row>
    <row r="130" ht="15.75" customHeight="1" s="134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30" t="n"/>
      <c r="J130" s="30" t="n"/>
      <c r="K130" s="30" t="n"/>
      <c r="L130" s="30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0" t="n"/>
      <c r="V130" s="30" t="n"/>
      <c r="W130" s="30" t="n"/>
      <c r="X130" s="30" t="n"/>
      <c r="Y130" s="30" t="n"/>
      <c r="Z130" s="30" t="n"/>
    </row>
    <row r="131" ht="15.75" customHeight="1" s="134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30" t="n"/>
      <c r="J131" s="30" t="n"/>
      <c r="K131" s="30" t="n"/>
      <c r="L131" s="30" t="n"/>
      <c r="M131" s="30" t="n"/>
      <c r="N131" s="30" t="n"/>
      <c r="O131" s="30" t="n"/>
      <c r="P131" s="30" t="n"/>
      <c r="Q131" s="30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</row>
    <row r="132" ht="15.75" customHeight="1" s="134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30" t="n"/>
      <c r="J132" s="30" t="n"/>
      <c r="K132" s="30" t="n"/>
      <c r="L132" s="30" t="n"/>
      <c r="M132" s="30" t="n"/>
      <c r="N132" s="30" t="n"/>
      <c r="O132" s="30" t="n"/>
      <c r="P132" s="30" t="n"/>
      <c r="Q132" s="30" t="n"/>
      <c r="R132" s="30" t="n"/>
      <c r="S132" s="30" t="n"/>
      <c r="T132" s="30" t="n"/>
      <c r="U132" s="30" t="n"/>
      <c r="V132" s="30" t="n"/>
      <c r="W132" s="30" t="n"/>
      <c r="X132" s="30" t="n"/>
      <c r="Y132" s="30" t="n"/>
      <c r="Z132" s="30" t="n"/>
    </row>
    <row r="133" ht="15.75" customHeight="1" s="134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30" t="n"/>
      <c r="J133" s="30" t="n"/>
      <c r="K133" s="30" t="n"/>
      <c r="L133" s="30" t="n"/>
      <c r="M133" s="30" t="n"/>
      <c r="N133" s="30" t="n"/>
      <c r="O133" s="30" t="n"/>
      <c r="P133" s="30" t="n"/>
      <c r="Q133" s="30" t="n"/>
      <c r="R133" s="30" t="n"/>
      <c r="S133" s="30" t="n"/>
      <c r="T133" s="30" t="n"/>
      <c r="U133" s="30" t="n"/>
      <c r="V133" s="30" t="n"/>
      <c r="W133" s="30" t="n"/>
      <c r="X133" s="30" t="n"/>
      <c r="Y133" s="30" t="n"/>
      <c r="Z133" s="30" t="n"/>
    </row>
    <row r="134" ht="15.75" customHeight="1" s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30" t="n"/>
      <c r="J134" s="30" t="n"/>
      <c r="K134" s="30" t="n"/>
      <c r="L134" s="30" t="n"/>
      <c r="M134" s="30" t="n"/>
      <c r="N134" s="30" t="n"/>
      <c r="O134" s="30" t="n"/>
      <c r="P134" s="30" t="n"/>
      <c r="Q134" s="30" t="n"/>
      <c r="R134" s="30" t="n"/>
      <c r="S134" s="30" t="n"/>
      <c r="T134" s="30" t="n"/>
      <c r="U134" s="30" t="n"/>
      <c r="V134" s="30" t="n"/>
      <c r="W134" s="30" t="n"/>
      <c r="X134" s="30" t="n"/>
      <c r="Y134" s="30" t="n"/>
      <c r="Z134" s="30" t="n"/>
    </row>
    <row r="135" ht="15.75" customHeight="1" s="134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30" t="n"/>
      <c r="J135" s="30" t="n"/>
      <c r="K135" s="30" t="n"/>
      <c r="L135" s="30" t="n"/>
      <c r="M135" s="30" t="n"/>
      <c r="N135" s="30" t="n"/>
      <c r="O135" s="30" t="n"/>
      <c r="P135" s="30" t="n"/>
      <c r="Q135" s="30" t="n"/>
      <c r="R135" s="30" t="n"/>
      <c r="S135" s="30" t="n"/>
      <c r="T135" s="30" t="n"/>
      <c r="U135" s="30" t="n"/>
      <c r="V135" s="30" t="n"/>
      <c r="W135" s="30" t="n"/>
      <c r="X135" s="30" t="n"/>
      <c r="Y135" s="30" t="n"/>
      <c r="Z135" s="30" t="n"/>
    </row>
    <row r="136" ht="15.75" customHeight="1" s="134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30" t="n"/>
      <c r="J136" s="30" t="n"/>
      <c r="K136" s="30" t="n"/>
      <c r="L136" s="30" t="n"/>
      <c r="M136" s="30" t="n"/>
      <c r="N136" s="30" t="n"/>
      <c r="O136" s="30" t="n"/>
      <c r="P136" s="30" t="n"/>
      <c r="Q136" s="30" t="n"/>
      <c r="R136" s="30" t="n"/>
      <c r="S136" s="30" t="n"/>
      <c r="T136" s="30" t="n"/>
      <c r="U136" s="30" t="n"/>
      <c r="V136" s="30" t="n"/>
      <c r="W136" s="30" t="n"/>
      <c r="X136" s="30" t="n"/>
      <c r="Y136" s="30" t="n"/>
      <c r="Z136" s="30" t="n"/>
    </row>
    <row r="137" ht="15.75" customHeight="1" s="134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30" t="n"/>
      <c r="J137" s="30" t="n"/>
      <c r="K137" s="30" t="n"/>
      <c r="L137" s="30" t="n"/>
      <c r="M137" s="30" t="n"/>
      <c r="N137" s="30" t="n"/>
      <c r="O137" s="30" t="n"/>
      <c r="P137" s="30" t="n"/>
      <c r="Q137" s="30" t="n"/>
      <c r="R137" s="30" t="n"/>
      <c r="S137" s="30" t="n"/>
      <c r="T137" s="30" t="n"/>
      <c r="U137" s="30" t="n"/>
      <c r="V137" s="30" t="n"/>
      <c r="W137" s="30" t="n"/>
      <c r="X137" s="30" t="n"/>
      <c r="Y137" s="30" t="n"/>
      <c r="Z137" s="30" t="n"/>
    </row>
    <row r="138" ht="15.75" customHeight="1" s="134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30" t="n"/>
      <c r="J138" s="30" t="n"/>
      <c r="K138" s="30" t="n"/>
      <c r="L138" s="30" t="n"/>
      <c r="M138" s="30" t="n"/>
      <c r="N138" s="30" t="n"/>
      <c r="O138" s="30" t="n"/>
      <c r="P138" s="30" t="n"/>
      <c r="Q138" s="30" t="n"/>
      <c r="R138" s="30" t="n"/>
      <c r="S138" s="30" t="n"/>
      <c r="T138" s="30" t="n"/>
      <c r="U138" s="30" t="n"/>
      <c r="V138" s="30" t="n"/>
      <c r="W138" s="30" t="n"/>
      <c r="X138" s="30" t="n"/>
      <c r="Y138" s="30" t="n"/>
      <c r="Z138" s="30" t="n"/>
    </row>
    <row r="139" ht="15.75" customHeight="1" s="134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30" t="n"/>
      <c r="J139" s="30" t="n"/>
      <c r="K139" s="30" t="n"/>
      <c r="L139" s="30" t="n"/>
      <c r="M139" s="30" t="n"/>
      <c r="N139" s="30" t="n"/>
      <c r="O139" s="30" t="n"/>
      <c r="P139" s="30" t="n"/>
      <c r="Q139" s="30" t="n"/>
      <c r="R139" s="30" t="n"/>
      <c r="S139" s="30" t="n"/>
      <c r="T139" s="30" t="n"/>
      <c r="U139" s="30" t="n"/>
      <c r="V139" s="30" t="n"/>
      <c r="W139" s="30" t="n"/>
      <c r="X139" s="30" t="n"/>
      <c r="Y139" s="30" t="n"/>
      <c r="Z139" s="30" t="n"/>
    </row>
    <row r="140" ht="15.75" customHeight="1" s="134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30" t="n"/>
      <c r="J140" s="30" t="n"/>
      <c r="K140" s="30" t="n"/>
      <c r="L140" s="30" t="n"/>
      <c r="M140" s="30" t="n"/>
      <c r="N140" s="30" t="n"/>
      <c r="O140" s="30" t="n"/>
      <c r="P140" s="30" t="n"/>
      <c r="Q140" s="30" t="n"/>
      <c r="R140" s="30" t="n"/>
      <c r="S140" s="30" t="n"/>
      <c r="T140" s="30" t="n"/>
      <c r="U140" s="30" t="n"/>
      <c r="V140" s="30" t="n"/>
      <c r="W140" s="30" t="n"/>
      <c r="X140" s="30" t="n"/>
      <c r="Y140" s="30" t="n"/>
      <c r="Z140" s="30" t="n"/>
    </row>
    <row r="141" ht="15.75" customHeight="1" s="134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30" t="n"/>
      <c r="J141" s="30" t="n"/>
      <c r="K141" s="30" t="n"/>
      <c r="L141" s="30" t="n"/>
      <c r="M141" s="30" t="n"/>
      <c r="N141" s="30" t="n"/>
      <c r="O141" s="30" t="n"/>
      <c r="P141" s="30" t="n"/>
      <c r="Q141" s="30" t="n"/>
      <c r="R141" s="30" t="n"/>
      <c r="S141" s="30" t="n"/>
      <c r="T141" s="30" t="n"/>
      <c r="U141" s="30" t="n"/>
      <c r="V141" s="30" t="n"/>
      <c r="W141" s="30" t="n"/>
      <c r="X141" s="30" t="n"/>
      <c r="Y141" s="30" t="n"/>
      <c r="Z141" s="30" t="n"/>
    </row>
    <row r="142" ht="15.75" customHeight="1" s="134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30" t="n"/>
      <c r="J142" s="30" t="n"/>
      <c r="K142" s="30" t="n"/>
      <c r="L142" s="30" t="n"/>
      <c r="M142" s="30" t="n"/>
      <c r="N142" s="30" t="n"/>
      <c r="O142" s="30" t="n"/>
      <c r="P142" s="30" t="n"/>
      <c r="Q142" s="30" t="n"/>
      <c r="R142" s="30" t="n"/>
      <c r="S142" s="30" t="n"/>
      <c r="T142" s="30" t="n"/>
      <c r="U142" s="30" t="n"/>
      <c r="V142" s="30" t="n"/>
      <c r="W142" s="30" t="n"/>
      <c r="X142" s="30" t="n"/>
      <c r="Y142" s="30" t="n"/>
      <c r="Z142" s="30" t="n"/>
    </row>
    <row r="143" ht="15.75" customHeight="1" s="134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30" t="n"/>
      <c r="J143" s="30" t="n"/>
      <c r="K143" s="30" t="n"/>
      <c r="L143" s="30" t="n"/>
      <c r="M143" s="30" t="n"/>
      <c r="N143" s="30" t="n"/>
      <c r="O143" s="30" t="n"/>
      <c r="P143" s="30" t="n"/>
      <c r="Q143" s="30" t="n"/>
      <c r="R143" s="30" t="n"/>
      <c r="S143" s="30" t="n"/>
      <c r="T143" s="30" t="n"/>
      <c r="U143" s="30" t="n"/>
      <c r="V143" s="30" t="n"/>
      <c r="W143" s="30" t="n"/>
      <c r="X143" s="30" t="n"/>
      <c r="Y143" s="30" t="n"/>
      <c r="Z143" s="30" t="n"/>
    </row>
    <row r="144" ht="15.75" customHeight="1" s="13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30" t="n"/>
      <c r="J144" s="30" t="n"/>
      <c r="K144" s="30" t="n"/>
      <c r="L144" s="30" t="n"/>
      <c r="M144" s="30" t="n"/>
      <c r="N144" s="30" t="n"/>
      <c r="O144" s="30" t="n"/>
      <c r="P144" s="30" t="n"/>
      <c r="Q144" s="30" t="n"/>
      <c r="R144" s="30" t="n"/>
      <c r="S144" s="30" t="n"/>
      <c r="T144" s="30" t="n"/>
      <c r="U144" s="30" t="n"/>
      <c r="V144" s="30" t="n"/>
      <c r="W144" s="30" t="n"/>
      <c r="X144" s="30" t="n"/>
      <c r="Y144" s="30" t="n"/>
      <c r="Z144" s="30" t="n"/>
    </row>
    <row r="145" ht="15.75" customHeight="1" s="134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30" t="n"/>
      <c r="J145" s="30" t="n"/>
      <c r="K145" s="30" t="n"/>
      <c r="L145" s="30" t="n"/>
      <c r="M145" s="30" t="n"/>
      <c r="N145" s="30" t="n"/>
      <c r="O145" s="30" t="n"/>
      <c r="P145" s="30" t="n"/>
      <c r="Q145" s="30" t="n"/>
      <c r="R145" s="30" t="n"/>
      <c r="S145" s="30" t="n"/>
      <c r="T145" s="30" t="n"/>
      <c r="U145" s="30" t="n"/>
      <c r="V145" s="30" t="n"/>
      <c r="W145" s="30" t="n"/>
      <c r="X145" s="30" t="n"/>
      <c r="Y145" s="30" t="n"/>
      <c r="Z145" s="30" t="n"/>
    </row>
    <row r="146" ht="15.75" customHeight="1" s="134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30" t="n"/>
      <c r="J146" s="30" t="n"/>
      <c r="K146" s="30" t="n"/>
      <c r="L146" s="30" t="n"/>
      <c r="M146" s="30" t="n"/>
      <c r="N146" s="30" t="n"/>
      <c r="O146" s="30" t="n"/>
      <c r="P146" s="30" t="n"/>
      <c r="Q146" s="30" t="n"/>
      <c r="R146" s="30" t="n"/>
      <c r="S146" s="30" t="n"/>
      <c r="T146" s="30" t="n"/>
      <c r="U146" s="30" t="n"/>
      <c r="V146" s="30" t="n"/>
      <c r="W146" s="30" t="n"/>
      <c r="X146" s="30" t="n"/>
      <c r="Y146" s="30" t="n"/>
      <c r="Z146" s="30" t="n"/>
    </row>
    <row r="147" ht="15.75" customHeight="1" s="134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30" t="n"/>
      <c r="J147" s="30" t="n"/>
      <c r="K147" s="30" t="n"/>
      <c r="L147" s="30" t="n"/>
      <c r="M147" s="30" t="n"/>
      <c r="N147" s="30" t="n"/>
      <c r="O147" s="30" t="n"/>
      <c r="P147" s="30" t="n"/>
      <c r="Q147" s="30" t="n"/>
      <c r="R147" s="30" t="n"/>
      <c r="S147" s="30" t="n"/>
      <c r="T147" s="30" t="n"/>
      <c r="U147" s="30" t="n"/>
      <c r="V147" s="30" t="n"/>
      <c r="W147" s="30" t="n"/>
      <c r="X147" s="30" t="n"/>
      <c r="Y147" s="30" t="n"/>
      <c r="Z147" s="30" t="n"/>
    </row>
    <row r="148" ht="15.75" customHeight="1" s="134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30" t="n"/>
      <c r="J148" s="30" t="n"/>
      <c r="K148" s="30" t="n"/>
      <c r="L148" s="30" t="n"/>
      <c r="M148" s="30" t="n"/>
      <c r="N148" s="30" t="n"/>
      <c r="O148" s="30" t="n"/>
      <c r="P148" s="30" t="n"/>
      <c r="Q148" s="30" t="n"/>
      <c r="R148" s="30" t="n"/>
      <c r="S148" s="30" t="n"/>
      <c r="T148" s="30" t="n"/>
      <c r="U148" s="30" t="n"/>
      <c r="V148" s="30" t="n"/>
      <c r="W148" s="30" t="n"/>
      <c r="X148" s="30" t="n"/>
      <c r="Y148" s="30" t="n"/>
      <c r="Z148" s="30" t="n"/>
    </row>
    <row r="149" ht="15.75" customHeight="1" s="134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30" t="n"/>
      <c r="J149" s="30" t="n"/>
      <c r="K149" s="30" t="n"/>
      <c r="L149" s="30" t="n"/>
      <c r="M149" s="30" t="n"/>
      <c r="N149" s="30" t="n"/>
      <c r="O149" s="30" t="n"/>
      <c r="P149" s="30" t="n"/>
      <c r="Q149" s="30" t="n"/>
      <c r="R149" s="30" t="n"/>
      <c r="S149" s="30" t="n"/>
      <c r="T149" s="30" t="n"/>
      <c r="U149" s="30" t="n"/>
      <c r="V149" s="30" t="n"/>
      <c r="W149" s="30" t="n"/>
      <c r="X149" s="30" t="n"/>
      <c r="Y149" s="30" t="n"/>
      <c r="Z149" s="30" t="n"/>
    </row>
    <row r="150" ht="15.75" customHeight="1" s="134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30" t="n"/>
      <c r="J150" s="30" t="n"/>
      <c r="K150" s="30" t="n"/>
      <c r="L150" s="30" t="n"/>
      <c r="M150" s="30" t="n"/>
      <c r="N150" s="30" t="n"/>
      <c r="O150" s="30" t="n"/>
      <c r="P150" s="30" t="n"/>
      <c r="Q150" s="30" t="n"/>
      <c r="R150" s="30" t="n"/>
      <c r="S150" s="30" t="n"/>
      <c r="T150" s="30" t="n"/>
      <c r="U150" s="30" t="n"/>
      <c r="V150" s="30" t="n"/>
      <c r="W150" s="30" t="n"/>
      <c r="X150" s="30" t="n"/>
      <c r="Y150" s="30" t="n"/>
      <c r="Z150" s="30" t="n"/>
    </row>
    <row r="151" ht="15.75" customHeight="1" s="134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30" t="n"/>
      <c r="J151" s="30" t="n"/>
      <c r="K151" s="30" t="n"/>
      <c r="L151" s="30" t="n"/>
      <c r="M151" s="30" t="n"/>
      <c r="N151" s="30" t="n"/>
      <c r="O151" s="30" t="n"/>
      <c r="P151" s="30" t="n"/>
      <c r="Q151" s="30" t="n"/>
      <c r="R151" s="30" t="n"/>
      <c r="S151" s="30" t="n"/>
      <c r="T151" s="30" t="n"/>
      <c r="U151" s="30" t="n"/>
      <c r="V151" s="30" t="n"/>
      <c r="W151" s="30" t="n"/>
      <c r="X151" s="30" t="n"/>
      <c r="Y151" s="30" t="n"/>
      <c r="Z151" s="30" t="n"/>
    </row>
    <row r="152" ht="15.75" customHeight="1" s="134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30" t="n"/>
      <c r="J152" s="30" t="n"/>
      <c r="K152" s="30" t="n"/>
      <c r="L152" s="30" t="n"/>
      <c r="M152" s="30" t="n"/>
      <c r="N152" s="30" t="n"/>
      <c r="O152" s="30" t="n"/>
      <c r="P152" s="30" t="n"/>
      <c r="Q152" s="30" t="n"/>
      <c r="R152" s="30" t="n"/>
      <c r="S152" s="30" t="n"/>
      <c r="T152" s="30" t="n"/>
      <c r="U152" s="30" t="n"/>
      <c r="V152" s="30" t="n"/>
      <c r="W152" s="30" t="n"/>
      <c r="X152" s="30" t="n"/>
      <c r="Y152" s="30" t="n"/>
      <c r="Z152" s="30" t="n"/>
    </row>
    <row r="153" ht="15.75" customHeight="1" s="134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30" t="n"/>
      <c r="J153" s="30" t="n"/>
      <c r="K153" s="30" t="n"/>
      <c r="L153" s="30" t="n"/>
      <c r="M153" s="30" t="n"/>
      <c r="N153" s="30" t="n"/>
      <c r="O153" s="30" t="n"/>
      <c r="P153" s="30" t="n"/>
      <c r="Q153" s="30" t="n"/>
      <c r="R153" s="30" t="n"/>
      <c r="S153" s="30" t="n"/>
      <c r="T153" s="30" t="n"/>
      <c r="U153" s="30" t="n"/>
      <c r="V153" s="30" t="n"/>
      <c r="W153" s="30" t="n"/>
      <c r="X153" s="30" t="n"/>
      <c r="Y153" s="30" t="n"/>
      <c r="Z153" s="30" t="n"/>
    </row>
    <row r="154" ht="15.75" customHeight="1" s="13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30" t="n"/>
      <c r="J154" s="30" t="n"/>
      <c r="K154" s="30" t="n"/>
      <c r="L154" s="30" t="n"/>
      <c r="M154" s="30" t="n"/>
      <c r="N154" s="30" t="n"/>
      <c r="O154" s="30" t="n"/>
      <c r="P154" s="30" t="n"/>
      <c r="Q154" s="30" t="n"/>
      <c r="R154" s="30" t="n"/>
      <c r="S154" s="30" t="n"/>
      <c r="T154" s="30" t="n"/>
      <c r="U154" s="30" t="n"/>
      <c r="V154" s="30" t="n"/>
      <c r="W154" s="30" t="n"/>
      <c r="X154" s="30" t="n"/>
      <c r="Y154" s="30" t="n"/>
      <c r="Z154" s="30" t="n"/>
    </row>
    <row r="155" ht="15.75" customHeight="1" s="134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30" t="n"/>
      <c r="J155" s="30" t="n"/>
      <c r="K155" s="30" t="n"/>
      <c r="L155" s="30" t="n"/>
      <c r="M155" s="30" t="n"/>
      <c r="N155" s="30" t="n"/>
      <c r="O155" s="30" t="n"/>
      <c r="P155" s="30" t="n"/>
      <c r="Q155" s="30" t="n"/>
      <c r="R155" s="30" t="n"/>
      <c r="S155" s="30" t="n"/>
      <c r="T155" s="30" t="n"/>
      <c r="U155" s="30" t="n"/>
      <c r="V155" s="30" t="n"/>
      <c r="W155" s="30" t="n"/>
      <c r="X155" s="30" t="n"/>
      <c r="Y155" s="30" t="n"/>
      <c r="Z155" s="30" t="n"/>
    </row>
    <row r="156" ht="15.75" customHeight="1" s="134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30" t="n"/>
      <c r="J156" s="30" t="n"/>
      <c r="K156" s="30" t="n"/>
      <c r="L156" s="30" t="n"/>
      <c r="M156" s="30" t="n"/>
      <c r="N156" s="30" t="n"/>
      <c r="O156" s="30" t="n"/>
      <c r="P156" s="30" t="n"/>
      <c r="Q156" s="30" t="n"/>
      <c r="R156" s="30" t="n"/>
      <c r="S156" s="30" t="n"/>
      <c r="T156" s="30" t="n"/>
      <c r="U156" s="30" t="n"/>
      <c r="V156" s="30" t="n"/>
      <c r="W156" s="30" t="n"/>
      <c r="X156" s="30" t="n"/>
      <c r="Y156" s="30" t="n"/>
      <c r="Z156" s="30" t="n"/>
    </row>
    <row r="157" ht="15.75" customHeight="1" s="134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30" t="n"/>
      <c r="J157" s="30" t="n"/>
      <c r="K157" s="30" t="n"/>
      <c r="L157" s="30" t="n"/>
      <c r="M157" s="30" t="n"/>
      <c r="N157" s="30" t="n"/>
      <c r="O157" s="30" t="n"/>
      <c r="P157" s="30" t="n"/>
      <c r="Q157" s="30" t="n"/>
      <c r="R157" s="30" t="n"/>
      <c r="S157" s="30" t="n"/>
      <c r="T157" s="30" t="n"/>
      <c r="U157" s="30" t="n"/>
      <c r="V157" s="30" t="n"/>
      <c r="W157" s="30" t="n"/>
      <c r="X157" s="30" t="n"/>
      <c r="Y157" s="30" t="n"/>
      <c r="Z157" s="30" t="n"/>
    </row>
    <row r="158" ht="15.75" customHeight="1" s="134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30" t="n"/>
      <c r="J158" s="30" t="n"/>
      <c r="K158" s="30" t="n"/>
      <c r="L158" s="30" t="n"/>
      <c r="M158" s="30" t="n"/>
      <c r="N158" s="30" t="n"/>
      <c r="O158" s="30" t="n"/>
      <c r="P158" s="30" t="n"/>
      <c r="Q158" s="30" t="n"/>
      <c r="R158" s="30" t="n"/>
      <c r="S158" s="30" t="n"/>
      <c r="T158" s="30" t="n"/>
      <c r="U158" s="30" t="n"/>
      <c r="V158" s="30" t="n"/>
      <c r="W158" s="30" t="n"/>
      <c r="X158" s="30" t="n"/>
      <c r="Y158" s="30" t="n"/>
      <c r="Z158" s="30" t="n"/>
    </row>
    <row r="159" ht="15.75" customHeight="1" s="134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30" t="n"/>
      <c r="J159" s="30" t="n"/>
      <c r="K159" s="30" t="n"/>
      <c r="L159" s="30" t="n"/>
      <c r="M159" s="30" t="n"/>
      <c r="N159" s="30" t="n"/>
      <c r="O159" s="30" t="n"/>
      <c r="P159" s="30" t="n"/>
      <c r="Q159" s="30" t="n"/>
      <c r="R159" s="30" t="n"/>
      <c r="S159" s="30" t="n"/>
      <c r="T159" s="30" t="n"/>
      <c r="U159" s="30" t="n"/>
      <c r="V159" s="30" t="n"/>
      <c r="W159" s="30" t="n"/>
      <c r="X159" s="30" t="n"/>
      <c r="Y159" s="30" t="n"/>
      <c r="Z159" s="30" t="n"/>
    </row>
    <row r="160" ht="15.75" customHeight="1" s="134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30" t="n"/>
      <c r="J160" s="30" t="n"/>
      <c r="K160" s="30" t="n"/>
      <c r="L160" s="30" t="n"/>
      <c r="M160" s="30" t="n"/>
      <c r="N160" s="30" t="n"/>
      <c r="O160" s="30" t="n"/>
      <c r="P160" s="30" t="n"/>
      <c r="Q160" s="30" t="n"/>
      <c r="R160" s="30" t="n"/>
      <c r="S160" s="30" t="n"/>
      <c r="T160" s="30" t="n"/>
      <c r="U160" s="30" t="n"/>
      <c r="V160" s="30" t="n"/>
      <c r="W160" s="30" t="n"/>
      <c r="X160" s="30" t="n"/>
      <c r="Y160" s="30" t="n"/>
      <c r="Z160" s="30" t="n"/>
    </row>
    <row r="161" ht="15.75" customHeight="1" s="134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30" t="n"/>
      <c r="J161" s="30" t="n"/>
      <c r="K161" s="30" t="n"/>
      <c r="L161" s="30" t="n"/>
      <c r="M161" s="30" t="n"/>
      <c r="N161" s="30" t="n"/>
      <c r="O161" s="30" t="n"/>
      <c r="P161" s="30" t="n"/>
      <c r="Q161" s="30" t="n"/>
      <c r="R161" s="30" t="n"/>
      <c r="S161" s="30" t="n"/>
      <c r="T161" s="30" t="n"/>
      <c r="U161" s="30" t="n"/>
      <c r="V161" s="30" t="n"/>
      <c r="W161" s="30" t="n"/>
      <c r="X161" s="30" t="n"/>
      <c r="Y161" s="30" t="n"/>
      <c r="Z161" s="30" t="n"/>
    </row>
    <row r="162" ht="15.75" customHeight="1" s="134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30" t="n"/>
      <c r="J162" s="30" t="n"/>
      <c r="K162" s="30" t="n"/>
      <c r="L162" s="30" t="n"/>
      <c r="M162" s="30" t="n"/>
      <c r="N162" s="30" t="n"/>
      <c r="O162" s="30" t="n"/>
      <c r="P162" s="30" t="n"/>
      <c r="Q162" s="30" t="n"/>
      <c r="R162" s="30" t="n"/>
      <c r="S162" s="30" t="n"/>
      <c r="T162" s="30" t="n"/>
      <c r="U162" s="30" t="n"/>
      <c r="V162" s="30" t="n"/>
      <c r="W162" s="30" t="n"/>
      <c r="X162" s="30" t="n"/>
      <c r="Y162" s="30" t="n"/>
      <c r="Z162" s="30" t="n"/>
    </row>
    <row r="163" ht="15.75" customHeight="1" s="134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30" t="n"/>
      <c r="J163" s="30" t="n"/>
      <c r="K163" s="30" t="n"/>
      <c r="L163" s="30" t="n"/>
      <c r="M163" s="30" t="n"/>
      <c r="N163" s="30" t="n"/>
      <c r="O163" s="30" t="n"/>
      <c r="P163" s="30" t="n"/>
      <c r="Q163" s="30" t="n"/>
      <c r="R163" s="30" t="n"/>
      <c r="S163" s="30" t="n"/>
      <c r="T163" s="30" t="n"/>
      <c r="U163" s="30" t="n"/>
      <c r="V163" s="30" t="n"/>
      <c r="W163" s="30" t="n"/>
      <c r="X163" s="30" t="n"/>
      <c r="Y163" s="30" t="n"/>
      <c r="Z163" s="30" t="n"/>
    </row>
    <row r="164" ht="15.75" customHeight="1" s="13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30" t="n"/>
      <c r="J164" s="30" t="n"/>
      <c r="K164" s="30" t="n"/>
      <c r="L164" s="30" t="n"/>
      <c r="M164" s="30" t="n"/>
      <c r="N164" s="30" t="n"/>
      <c r="O164" s="30" t="n"/>
      <c r="P164" s="30" t="n"/>
      <c r="Q164" s="30" t="n"/>
      <c r="R164" s="30" t="n"/>
      <c r="S164" s="30" t="n"/>
      <c r="T164" s="30" t="n"/>
      <c r="U164" s="30" t="n"/>
      <c r="V164" s="30" t="n"/>
      <c r="W164" s="30" t="n"/>
      <c r="X164" s="30" t="n"/>
      <c r="Y164" s="30" t="n"/>
      <c r="Z164" s="30" t="n"/>
    </row>
    <row r="165" ht="15.75" customHeight="1" s="134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30" t="n"/>
      <c r="J165" s="30" t="n"/>
      <c r="K165" s="30" t="n"/>
      <c r="L165" s="30" t="n"/>
      <c r="M165" s="30" t="n"/>
      <c r="N165" s="30" t="n"/>
      <c r="O165" s="30" t="n"/>
      <c r="P165" s="30" t="n"/>
      <c r="Q165" s="30" t="n"/>
      <c r="R165" s="30" t="n"/>
      <c r="S165" s="30" t="n"/>
      <c r="T165" s="30" t="n"/>
      <c r="U165" s="30" t="n"/>
      <c r="V165" s="30" t="n"/>
      <c r="W165" s="30" t="n"/>
      <c r="X165" s="30" t="n"/>
      <c r="Y165" s="30" t="n"/>
      <c r="Z165" s="30" t="n"/>
    </row>
    <row r="166" ht="15.75" customHeight="1" s="134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30" t="n"/>
      <c r="J166" s="30" t="n"/>
      <c r="K166" s="30" t="n"/>
      <c r="L166" s="30" t="n"/>
      <c r="M166" s="30" t="n"/>
      <c r="N166" s="30" t="n"/>
      <c r="O166" s="30" t="n"/>
      <c r="P166" s="30" t="n"/>
      <c r="Q166" s="30" t="n"/>
      <c r="R166" s="30" t="n"/>
      <c r="S166" s="30" t="n"/>
      <c r="T166" s="30" t="n"/>
      <c r="U166" s="30" t="n"/>
      <c r="V166" s="30" t="n"/>
      <c r="W166" s="30" t="n"/>
      <c r="X166" s="30" t="n"/>
      <c r="Y166" s="30" t="n"/>
      <c r="Z166" s="30" t="n"/>
    </row>
    <row r="167" ht="15.75" customHeight="1" s="134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30" t="n"/>
      <c r="J167" s="30" t="n"/>
      <c r="K167" s="30" t="n"/>
      <c r="L167" s="30" t="n"/>
      <c r="M167" s="30" t="n"/>
      <c r="N167" s="30" t="n"/>
      <c r="O167" s="30" t="n"/>
      <c r="P167" s="30" t="n"/>
      <c r="Q167" s="30" t="n"/>
      <c r="R167" s="30" t="n"/>
      <c r="S167" s="30" t="n"/>
      <c r="T167" s="30" t="n"/>
      <c r="U167" s="30" t="n"/>
      <c r="V167" s="30" t="n"/>
      <c r="W167" s="30" t="n"/>
      <c r="X167" s="30" t="n"/>
      <c r="Y167" s="30" t="n"/>
      <c r="Z167" s="30" t="n"/>
    </row>
    <row r="168" ht="15.75" customHeight="1" s="134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30" t="n"/>
      <c r="J168" s="30" t="n"/>
      <c r="K168" s="30" t="n"/>
      <c r="L168" s="30" t="n"/>
      <c r="M168" s="30" t="n"/>
      <c r="N168" s="30" t="n"/>
      <c r="O168" s="30" t="n"/>
      <c r="P168" s="30" t="n"/>
      <c r="Q168" s="30" t="n"/>
      <c r="R168" s="30" t="n"/>
      <c r="S168" s="30" t="n"/>
      <c r="T168" s="30" t="n"/>
      <c r="U168" s="30" t="n"/>
      <c r="V168" s="30" t="n"/>
      <c r="W168" s="30" t="n"/>
      <c r="X168" s="30" t="n"/>
      <c r="Y168" s="30" t="n"/>
      <c r="Z168" s="30" t="n"/>
    </row>
    <row r="169" ht="15.75" customHeight="1" s="134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30" t="n"/>
      <c r="J169" s="30" t="n"/>
      <c r="K169" s="30" t="n"/>
      <c r="L169" s="30" t="n"/>
      <c r="M169" s="30" t="n"/>
      <c r="N169" s="30" t="n"/>
      <c r="O169" s="30" t="n"/>
      <c r="P169" s="30" t="n"/>
      <c r="Q169" s="30" t="n"/>
      <c r="R169" s="30" t="n"/>
      <c r="S169" s="30" t="n"/>
      <c r="T169" s="30" t="n"/>
      <c r="U169" s="30" t="n"/>
      <c r="V169" s="30" t="n"/>
      <c r="W169" s="30" t="n"/>
      <c r="X169" s="30" t="n"/>
      <c r="Y169" s="30" t="n"/>
      <c r="Z169" s="30" t="n"/>
    </row>
    <row r="170" ht="15.75" customHeight="1" s="134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30" t="n"/>
      <c r="J170" s="30" t="n"/>
      <c r="K170" s="30" t="n"/>
      <c r="L170" s="30" t="n"/>
      <c r="M170" s="30" t="n"/>
      <c r="N170" s="30" t="n"/>
      <c r="O170" s="30" t="n"/>
      <c r="P170" s="30" t="n"/>
      <c r="Q170" s="30" t="n"/>
      <c r="R170" s="30" t="n"/>
      <c r="S170" s="30" t="n"/>
      <c r="T170" s="30" t="n"/>
      <c r="U170" s="30" t="n"/>
      <c r="V170" s="30" t="n"/>
      <c r="W170" s="30" t="n"/>
      <c r="X170" s="30" t="n"/>
      <c r="Y170" s="30" t="n"/>
      <c r="Z170" s="30" t="n"/>
    </row>
    <row r="171" ht="15.75" customHeight="1" s="134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30" t="n"/>
      <c r="J171" s="30" t="n"/>
      <c r="K171" s="30" t="n"/>
      <c r="L171" s="30" t="n"/>
      <c r="M171" s="30" t="n"/>
      <c r="N171" s="30" t="n"/>
      <c r="O171" s="30" t="n"/>
      <c r="P171" s="30" t="n"/>
      <c r="Q171" s="30" t="n"/>
      <c r="R171" s="30" t="n"/>
      <c r="S171" s="30" t="n"/>
      <c r="T171" s="30" t="n"/>
      <c r="U171" s="30" t="n"/>
      <c r="V171" s="30" t="n"/>
      <c r="W171" s="30" t="n"/>
      <c r="X171" s="30" t="n"/>
      <c r="Y171" s="30" t="n"/>
      <c r="Z171" s="30" t="n"/>
    </row>
    <row r="172" ht="15.75" customHeight="1" s="134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30" t="n"/>
      <c r="J172" s="30" t="n"/>
      <c r="K172" s="30" t="n"/>
      <c r="L172" s="30" t="n"/>
      <c r="M172" s="30" t="n"/>
      <c r="N172" s="30" t="n"/>
      <c r="O172" s="30" t="n"/>
      <c r="P172" s="30" t="n"/>
      <c r="Q172" s="30" t="n"/>
      <c r="R172" s="30" t="n"/>
      <c r="S172" s="30" t="n"/>
      <c r="T172" s="30" t="n"/>
      <c r="U172" s="30" t="n"/>
      <c r="V172" s="30" t="n"/>
      <c r="W172" s="30" t="n"/>
      <c r="X172" s="30" t="n"/>
      <c r="Y172" s="30" t="n"/>
      <c r="Z172" s="30" t="n"/>
    </row>
    <row r="173" ht="15.75" customHeight="1" s="134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30" t="n"/>
      <c r="J173" s="30" t="n"/>
      <c r="K173" s="30" t="n"/>
      <c r="L173" s="30" t="n"/>
      <c r="M173" s="30" t="n"/>
      <c r="N173" s="30" t="n"/>
      <c r="O173" s="30" t="n"/>
      <c r="P173" s="30" t="n"/>
      <c r="Q173" s="30" t="n"/>
      <c r="R173" s="30" t="n"/>
      <c r="S173" s="30" t="n"/>
      <c r="T173" s="30" t="n"/>
      <c r="U173" s="30" t="n"/>
      <c r="V173" s="30" t="n"/>
      <c r="W173" s="30" t="n"/>
      <c r="X173" s="30" t="n"/>
      <c r="Y173" s="30" t="n"/>
      <c r="Z173" s="30" t="n"/>
    </row>
    <row r="174" ht="15.75" customHeight="1" s="13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30" t="n"/>
      <c r="J174" s="30" t="n"/>
      <c r="K174" s="30" t="n"/>
      <c r="L174" s="30" t="n"/>
      <c r="M174" s="30" t="n"/>
      <c r="N174" s="30" t="n"/>
      <c r="O174" s="30" t="n"/>
      <c r="P174" s="30" t="n"/>
      <c r="Q174" s="30" t="n"/>
      <c r="R174" s="30" t="n"/>
      <c r="S174" s="30" t="n"/>
      <c r="T174" s="30" t="n"/>
      <c r="U174" s="30" t="n"/>
      <c r="V174" s="30" t="n"/>
      <c r="W174" s="30" t="n"/>
      <c r="X174" s="30" t="n"/>
      <c r="Y174" s="30" t="n"/>
      <c r="Z174" s="30" t="n"/>
    </row>
    <row r="175" ht="15.75" customHeight="1" s="134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30" t="n"/>
      <c r="J175" s="30" t="n"/>
      <c r="K175" s="30" t="n"/>
      <c r="L175" s="30" t="n"/>
      <c r="M175" s="30" t="n"/>
      <c r="N175" s="30" t="n"/>
      <c r="O175" s="30" t="n"/>
      <c r="P175" s="30" t="n"/>
      <c r="Q175" s="30" t="n"/>
      <c r="R175" s="30" t="n"/>
      <c r="S175" s="30" t="n"/>
      <c r="T175" s="30" t="n"/>
      <c r="U175" s="30" t="n"/>
      <c r="V175" s="30" t="n"/>
      <c r="W175" s="30" t="n"/>
      <c r="X175" s="30" t="n"/>
      <c r="Y175" s="30" t="n"/>
      <c r="Z175" s="30" t="n"/>
    </row>
    <row r="176" ht="15.75" customHeight="1" s="134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30" t="n"/>
      <c r="J176" s="30" t="n"/>
      <c r="K176" s="30" t="n"/>
      <c r="L176" s="30" t="n"/>
      <c r="M176" s="30" t="n"/>
      <c r="N176" s="30" t="n"/>
      <c r="O176" s="30" t="n"/>
      <c r="P176" s="30" t="n"/>
      <c r="Q176" s="30" t="n"/>
      <c r="R176" s="30" t="n"/>
      <c r="S176" s="30" t="n"/>
      <c r="T176" s="30" t="n"/>
      <c r="U176" s="30" t="n"/>
      <c r="V176" s="30" t="n"/>
      <c r="W176" s="30" t="n"/>
      <c r="X176" s="30" t="n"/>
      <c r="Y176" s="30" t="n"/>
      <c r="Z176" s="30" t="n"/>
    </row>
    <row r="177" ht="15.75" customHeight="1" s="134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30" t="n"/>
      <c r="J177" s="30" t="n"/>
      <c r="K177" s="30" t="n"/>
      <c r="L177" s="30" t="n"/>
      <c r="M177" s="30" t="n"/>
      <c r="N177" s="30" t="n"/>
      <c r="O177" s="30" t="n"/>
      <c r="P177" s="30" t="n"/>
      <c r="Q177" s="30" t="n"/>
      <c r="R177" s="30" t="n"/>
      <c r="S177" s="30" t="n"/>
      <c r="T177" s="30" t="n"/>
      <c r="U177" s="30" t="n"/>
      <c r="V177" s="30" t="n"/>
      <c r="W177" s="30" t="n"/>
      <c r="X177" s="30" t="n"/>
      <c r="Y177" s="30" t="n"/>
      <c r="Z177" s="30" t="n"/>
    </row>
    <row r="178" ht="15.75" customHeight="1" s="134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30" t="n"/>
      <c r="J178" s="30" t="n"/>
      <c r="K178" s="30" t="n"/>
      <c r="L178" s="30" t="n"/>
      <c r="M178" s="30" t="n"/>
      <c r="N178" s="30" t="n"/>
      <c r="O178" s="30" t="n"/>
      <c r="P178" s="30" t="n"/>
      <c r="Q178" s="30" t="n"/>
      <c r="R178" s="30" t="n"/>
      <c r="S178" s="30" t="n"/>
      <c r="T178" s="30" t="n"/>
      <c r="U178" s="30" t="n"/>
      <c r="V178" s="30" t="n"/>
      <c r="W178" s="30" t="n"/>
      <c r="X178" s="30" t="n"/>
      <c r="Y178" s="30" t="n"/>
      <c r="Z178" s="30" t="n"/>
    </row>
    <row r="179" ht="15.75" customHeight="1" s="134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30" t="n"/>
      <c r="J179" s="30" t="n"/>
      <c r="K179" s="30" t="n"/>
      <c r="L179" s="30" t="n"/>
      <c r="M179" s="30" t="n"/>
      <c r="N179" s="30" t="n"/>
      <c r="O179" s="30" t="n"/>
      <c r="P179" s="30" t="n"/>
      <c r="Q179" s="30" t="n"/>
      <c r="R179" s="30" t="n"/>
      <c r="S179" s="30" t="n"/>
      <c r="T179" s="30" t="n"/>
      <c r="U179" s="30" t="n"/>
      <c r="V179" s="30" t="n"/>
      <c r="W179" s="30" t="n"/>
      <c r="X179" s="30" t="n"/>
      <c r="Y179" s="30" t="n"/>
      <c r="Z179" s="30" t="n"/>
    </row>
    <row r="180" ht="15.75" customHeight="1" s="134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30" t="n"/>
      <c r="J180" s="30" t="n"/>
      <c r="K180" s="30" t="n"/>
      <c r="L180" s="30" t="n"/>
      <c r="M180" s="30" t="n"/>
      <c r="N180" s="30" t="n"/>
      <c r="O180" s="30" t="n"/>
      <c r="P180" s="30" t="n"/>
      <c r="Q180" s="30" t="n"/>
      <c r="R180" s="30" t="n"/>
      <c r="S180" s="30" t="n"/>
      <c r="T180" s="30" t="n"/>
      <c r="U180" s="30" t="n"/>
      <c r="V180" s="30" t="n"/>
      <c r="W180" s="30" t="n"/>
      <c r="X180" s="30" t="n"/>
      <c r="Y180" s="30" t="n"/>
      <c r="Z180" s="30" t="n"/>
    </row>
    <row r="181" ht="15.75" customHeight="1" s="134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30" t="n"/>
      <c r="J181" s="30" t="n"/>
      <c r="K181" s="30" t="n"/>
      <c r="L181" s="30" t="n"/>
      <c r="M181" s="30" t="n"/>
      <c r="N181" s="30" t="n"/>
      <c r="O181" s="30" t="n"/>
      <c r="P181" s="30" t="n"/>
      <c r="Q181" s="30" t="n"/>
      <c r="R181" s="30" t="n"/>
      <c r="S181" s="30" t="n"/>
      <c r="T181" s="30" t="n"/>
      <c r="U181" s="30" t="n"/>
      <c r="V181" s="30" t="n"/>
      <c r="W181" s="30" t="n"/>
      <c r="X181" s="30" t="n"/>
      <c r="Y181" s="30" t="n"/>
      <c r="Z181" s="30" t="n"/>
    </row>
    <row r="182" ht="15.75" customHeight="1" s="134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30" t="n"/>
      <c r="J182" s="30" t="n"/>
      <c r="K182" s="30" t="n"/>
      <c r="L182" s="30" t="n"/>
      <c r="M182" s="30" t="n"/>
      <c r="N182" s="30" t="n"/>
      <c r="O182" s="30" t="n"/>
      <c r="P182" s="30" t="n"/>
      <c r="Q182" s="30" t="n"/>
      <c r="R182" s="30" t="n"/>
      <c r="S182" s="30" t="n"/>
      <c r="T182" s="30" t="n"/>
      <c r="U182" s="30" t="n"/>
      <c r="V182" s="30" t="n"/>
      <c r="W182" s="30" t="n"/>
      <c r="X182" s="30" t="n"/>
      <c r="Y182" s="30" t="n"/>
      <c r="Z182" s="30" t="n"/>
    </row>
    <row r="183" ht="15.75" customHeight="1" s="134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30" t="n"/>
      <c r="J183" s="30" t="n"/>
      <c r="K183" s="30" t="n"/>
      <c r="L183" s="30" t="n"/>
      <c r="M183" s="30" t="n"/>
      <c r="N183" s="30" t="n"/>
      <c r="O183" s="30" t="n"/>
      <c r="P183" s="30" t="n"/>
      <c r="Q183" s="30" t="n"/>
      <c r="R183" s="30" t="n"/>
      <c r="S183" s="30" t="n"/>
      <c r="T183" s="30" t="n"/>
      <c r="U183" s="30" t="n"/>
      <c r="V183" s="30" t="n"/>
      <c r="W183" s="30" t="n"/>
      <c r="X183" s="30" t="n"/>
      <c r="Y183" s="30" t="n"/>
      <c r="Z183" s="30" t="n"/>
    </row>
    <row r="184" ht="15.75" customHeight="1" s="13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30" t="n"/>
      <c r="J184" s="30" t="n"/>
      <c r="K184" s="30" t="n"/>
      <c r="L184" s="30" t="n"/>
      <c r="M184" s="30" t="n"/>
      <c r="N184" s="30" t="n"/>
      <c r="O184" s="30" t="n"/>
      <c r="P184" s="30" t="n"/>
      <c r="Q184" s="30" t="n"/>
      <c r="R184" s="30" t="n"/>
      <c r="S184" s="30" t="n"/>
      <c r="T184" s="30" t="n"/>
      <c r="U184" s="30" t="n"/>
      <c r="V184" s="30" t="n"/>
      <c r="W184" s="30" t="n"/>
      <c r="X184" s="30" t="n"/>
      <c r="Y184" s="30" t="n"/>
      <c r="Z184" s="30" t="n"/>
    </row>
    <row r="185" ht="15.75" customHeight="1" s="134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30" t="n"/>
      <c r="J185" s="30" t="n"/>
      <c r="K185" s="30" t="n"/>
      <c r="L185" s="30" t="n"/>
      <c r="M185" s="30" t="n"/>
      <c r="N185" s="30" t="n"/>
      <c r="O185" s="30" t="n"/>
      <c r="P185" s="30" t="n"/>
      <c r="Q185" s="30" t="n"/>
      <c r="R185" s="30" t="n"/>
      <c r="S185" s="30" t="n"/>
      <c r="T185" s="30" t="n"/>
      <c r="U185" s="30" t="n"/>
      <c r="V185" s="30" t="n"/>
      <c r="W185" s="30" t="n"/>
      <c r="X185" s="30" t="n"/>
      <c r="Y185" s="30" t="n"/>
      <c r="Z185" s="30" t="n"/>
    </row>
    <row r="186" ht="15.75" customHeight="1" s="134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30" t="n"/>
      <c r="J186" s="30" t="n"/>
      <c r="K186" s="30" t="n"/>
      <c r="L186" s="30" t="n"/>
      <c r="M186" s="30" t="n"/>
      <c r="N186" s="30" t="n"/>
      <c r="O186" s="30" t="n"/>
      <c r="P186" s="30" t="n"/>
      <c r="Q186" s="30" t="n"/>
      <c r="R186" s="30" t="n"/>
      <c r="S186" s="30" t="n"/>
      <c r="T186" s="30" t="n"/>
      <c r="U186" s="30" t="n"/>
      <c r="V186" s="30" t="n"/>
      <c r="W186" s="30" t="n"/>
      <c r="X186" s="30" t="n"/>
      <c r="Y186" s="30" t="n"/>
      <c r="Z186" s="30" t="n"/>
    </row>
    <row r="187" ht="15.75" customHeight="1" s="134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30" t="n"/>
      <c r="J187" s="30" t="n"/>
      <c r="K187" s="30" t="n"/>
      <c r="L187" s="30" t="n"/>
      <c r="M187" s="30" t="n"/>
      <c r="N187" s="30" t="n"/>
      <c r="O187" s="30" t="n"/>
      <c r="P187" s="30" t="n"/>
      <c r="Q187" s="30" t="n"/>
      <c r="R187" s="30" t="n"/>
      <c r="S187" s="30" t="n"/>
      <c r="T187" s="30" t="n"/>
      <c r="U187" s="30" t="n"/>
      <c r="V187" s="30" t="n"/>
      <c r="W187" s="30" t="n"/>
      <c r="X187" s="30" t="n"/>
      <c r="Y187" s="30" t="n"/>
      <c r="Z187" s="30" t="n"/>
    </row>
    <row r="188" ht="15.75" customHeight="1" s="134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30" t="n"/>
      <c r="J188" s="30" t="n"/>
      <c r="K188" s="30" t="n"/>
      <c r="L188" s="30" t="n"/>
      <c r="M188" s="30" t="n"/>
      <c r="N188" s="30" t="n"/>
      <c r="O188" s="30" t="n"/>
      <c r="P188" s="30" t="n"/>
      <c r="Q188" s="30" t="n"/>
      <c r="R188" s="30" t="n"/>
      <c r="S188" s="30" t="n"/>
      <c r="T188" s="30" t="n"/>
      <c r="U188" s="30" t="n"/>
      <c r="V188" s="30" t="n"/>
      <c r="W188" s="30" t="n"/>
      <c r="X188" s="30" t="n"/>
      <c r="Y188" s="30" t="n"/>
      <c r="Z188" s="30" t="n"/>
    </row>
    <row r="189" ht="15.75" customHeight="1" s="134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30" t="n"/>
      <c r="J189" s="30" t="n"/>
      <c r="K189" s="30" t="n"/>
      <c r="L189" s="30" t="n"/>
      <c r="M189" s="30" t="n"/>
      <c r="N189" s="30" t="n"/>
      <c r="O189" s="30" t="n"/>
      <c r="P189" s="30" t="n"/>
      <c r="Q189" s="30" t="n"/>
      <c r="R189" s="30" t="n"/>
      <c r="S189" s="30" t="n"/>
      <c r="T189" s="30" t="n"/>
      <c r="U189" s="30" t="n"/>
      <c r="V189" s="30" t="n"/>
      <c r="W189" s="30" t="n"/>
      <c r="X189" s="30" t="n"/>
      <c r="Y189" s="30" t="n"/>
      <c r="Z189" s="30" t="n"/>
    </row>
    <row r="190" ht="15.75" customHeight="1" s="134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30" t="n"/>
      <c r="J190" s="30" t="n"/>
      <c r="K190" s="30" t="n"/>
      <c r="L190" s="30" t="n"/>
      <c r="M190" s="30" t="n"/>
      <c r="N190" s="30" t="n"/>
      <c r="O190" s="30" t="n"/>
      <c r="P190" s="30" t="n"/>
      <c r="Q190" s="30" t="n"/>
      <c r="R190" s="30" t="n"/>
      <c r="S190" s="30" t="n"/>
      <c r="T190" s="30" t="n"/>
      <c r="U190" s="30" t="n"/>
      <c r="V190" s="30" t="n"/>
      <c r="W190" s="30" t="n"/>
      <c r="X190" s="30" t="n"/>
      <c r="Y190" s="30" t="n"/>
      <c r="Z190" s="30" t="n"/>
    </row>
    <row r="191" ht="15.75" customHeight="1" s="134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30" t="n"/>
      <c r="J191" s="30" t="n"/>
      <c r="K191" s="30" t="n"/>
      <c r="L191" s="30" t="n"/>
      <c r="M191" s="30" t="n"/>
      <c r="N191" s="30" t="n"/>
      <c r="O191" s="30" t="n"/>
      <c r="P191" s="30" t="n"/>
      <c r="Q191" s="30" t="n"/>
      <c r="R191" s="30" t="n"/>
      <c r="S191" s="30" t="n"/>
      <c r="T191" s="30" t="n"/>
      <c r="U191" s="30" t="n"/>
      <c r="V191" s="30" t="n"/>
      <c r="W191" s="30" t="n"/>
      <c r="X191" s="30" t="n"/>
      <c r="Y191" s="30" t="n"/>
      <c r="Z191" s="30" t="n"/>
    </row>
    <row r="192" ht="15.75" customHeight="1" s="134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30" t="n"/>
      <c r="J192" s="30" t="n"/>
      <c r="K192" s="30" t="n"/>
      <c r="L192" s="30" t="n"/>
      <c r="M192" s="30" t="n"/>
      <c r="N192" s="30" t="n"/>
      <c r="O192" s="30" t="n"/>
      <c r="P192" s="30" t="n"/>
      <c r="Q192" s="30" t="n"/>
      <c r="R192" s="30" t="n"/>
      <c r="S192" s="30" t="n"/>
      <c r="T192" s="30" t="n"/>
      <c r="U192" s="30" t="n"/>
      <c r="V192" s="30" t="n"/>
      <c r="W192" s="30" t="n"/>
      <c r="X192" s="30" t="n"/>
      <c r="Y192" s="30" t="n"/>
      <c r="Z192" s="30" t="n"/>
    </row>
    <row r="193" ht="15.75" customHeight="1" s="134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30" t="n"/>
      <c r="J193" s="30" t="n"/>
      <c r="K193" s="30" t="n"/>
      <c r="L193" s="30" t="n"/>
      <c r="M193" s="30" t="n"/>
      <c r="N193" s="30" t="n"/>
      <c r="O193" s="30" t="n"/>
      <c r="P193" s="30" t="n"/>
      <c r="Q193" s="30" t="n"/>
      <c r="R193" s="30" t="n"/>
      <c r="S193" s="30" t="n"/>
      <c r="T193" s="30" t="n"/>
      <c r="U193" s="30" t="n"/>
      <c r="V193" s="30" t="n"/>
      <c r="W193" s="30" t="n"/>
      <c r="X193" s="30" t="n"/>
      <c r="Y193" s="30" t="n"/>
      <c r="Z193" s="30" t="n"/>
    </row>
    <row r="194" ht="15.75" customHeight="1" s="13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30" t="n"/>
      <c r="J194" s="30" t="n"/>
      <c r="K194" s="30" t="n"/>
      <c r="L194" s="30" t="n"/>
      <c r="M194" s="30" t="n"/>
      <c r="N194" s="30" t="n"/>
      <c r="O194" s="30" t="n"/>
      <c r="P194" s="30" t="n"/>
      <c r="Q194" s="30" t="n"/>
      <c r="R194" s="30" t="n"/>
      <c r="S194" s="30" t="n"/>
      <c r="T194" s="30" t="n"/>
      <c r="U194" s="30" t="n"/>
      <c r="V194" s="30" t="n"/>
      <c r="W194" s="30" t="n"/>
      <c r="X194" s="30" t="n"/>
      <c r="Y194" s="30" t="n"/>
      <c r="Z194" s="30" t="n"/>
    </row>
    <row r="195" ht="15.75" customHeight="1" s="134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30" t="n"/>
      <c r="J195" s="30" t="n"/>
      <c r="K195" s="30" t="n"/>
      <c r="L195" s="30" t="n"/>
      <c r="M195" s="30" t="n"/>
      <c r="N195" s="30" t="n"/>
      <c r="O195" s="30" t="n"/>
      <c r="P195" s="30" t="n"/>
      <c r="Q195" s="30" t="n"/>
      <c r="R195" s="30" t="n"/>
      <c r="S195" s="30" t="n"/>
      <c r="T195" s="30" t="n"/>
      <c r="U195" s="30" t="n"/>
      <c r="V195" s="30" t="n"/>
      <c r="W195" s="30" t="n"/>
      <c r="X195" s="30" t="n"/>
      <c r="Y195" s="30" t="n"/>
      <c r="Z195" s="30" t="n"/>
    </row>
    <row r="196" ht="15.75" customHeight="1" s="134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30" t="n"/>
      <c r="J196" s="30" t="n"/>
      <c r="K196" s="30" t="n"/>
      <c r="L196" s="30" t="n"/>
      <c r="M196" s="30" t="n"/>
      <c r="N196" s="30" t="n"/>
      <c r="O196" s="30" t="n"/>
      <c r="P196" s="30" t="n"/>
      <c r="Q196" s="30" t="n"/>
      <c r="R196" s="30" t="n"/>
      <c r="S196" s="30" t="n"/>
      <c r="T196" s="30" t="n"/>
      <c r="U196" s="30" t="n"/>
      <c r="V196" s="30" t="n"/>
      <c r="W196" s="30" t="n"/>
      <c r="X196" s="30" t="n"/>
      <c r="Y196" s="30" t="n"/>
      <c r="Z196" s="30" t="n"/>
    </row>
    <row r="197" ht="15.75" customHeight="1" s="134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30" t="n"/>
      <c r="J197" s="30" t="n"/>
      <c r="K197" s="30" t="n"/>
      <c r="L197" s="30" t="n"/>
      <c r="M197" s="30" t="n"/>
      <c r="N197" s="30" t="n"/>
      <c r="O197" s="30" t="n"/>
      <c r="P197" s="30" t="n"/>
      <c r="Q197" s="30" t="n"/>
      <c r="R197" s="30" t="n"/>
      <c r="S197" s="30" t="n"/>
      <c r="T197" s="30" t="n"/>
      <c r="U197" s="30" t="n"/>
      <c r="V197" s="30" t="n"/>
      <c r="W197" s="30" t="n"/>
      <c r="X197" s="30" t="n"/>
      <c r="Y197" s="30" t="n"/>
      <c r="Z197" s="30" t="n"/>
    </row>
    <row r="198" ht="15.75" customHeight="1" s="134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30" t="n"/>
      <c r="J198" s="30" t="n"/>
      <c r="K198" s="30" t="n"/>
      <c r="L198" s="30" t="n"/>
      <c r="M198" s="30" t="n"/>
      <c r="N198" s="30" t="n"/>
      <c r="O198" s="30" t="n"/>
      <c r="P198" s="30" t="n"/>
      <c r="Q198" s="30" t="n"/>
      <c r="R198" s="30" t="n"/>
      <c r="S198" s="30" t="n"/>
      <c r="T198" s="30" t="n"/>
      <c r="U198" s="30" t="n"/>
      <c r="V198" s="30" t="n"/>
      <c r="W198" s="30" t="n"/>
      <c r="X198" s="30" t="n"/>
      <c r="Y198" s="30" t="n"/>
      <c r="Z198" s="30" t="n"/>
    </row>
    <row r="199" ht="15.75" customHeight="1" s="134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30" t="n"/>
      <c r="J199" s="30" t="n"/>
      <c r="K199" s="30" t="n"/>
      <c r="L199" s="30" t="n"/>
      <c r="M199" s="30" t="n"/>
      <c r="N199" s="30" t="n"/>
      <c r="O199" s="30" t="n"/>
      <c r="P199" s="30" t="n"/>
      <c r="Q199" s="30" t="n"/>
      <c r="R199" s="30" t="n"/>
      <c r="S199" s="30" t="n"/>
      <c r="T199" s="30" t="n"/>
      <c r="U199" s="30" t="n"/>
      <c r="V199" s="30" t="n"/>
      <c r="W199" s="30" t="n"/>
      <c r="X199" s="30" t="n"/>
      <c r="Y199" s="30" t="n"/>
      <c r="Z199" s="30" t="n"/>
    </row>
    <row r="200" ht="15.75" customHeight="1" s="134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30" t="n"/>
      <c r="J200" s="30" t="n"/>
      <c r="K200" s="30" t="n"/>
      <c r="L200" s="30" t="n"/>
      <c r="M200" s="30" t="n"/>
      <c r="N200" s="30" t="n"/>
      <c r="O200" s="30" t="n"/>
      <c r="P200" s="30" t="n"/>
      <c r="Q200" s="30" t="n"/>
      <c r="R200" s="30" t="n"/>
      <c r="S200" s="30" t="n"/>
      <c r="T200" s="30" t="n"/>
      <c r="U200" s="30" t="n"/>
      <c r="V200" s="30" t="n"/>
      <c r="W200" s="30" t="n"/>
      <c r="X200" s="30" t="n"/>
      <c r="Y200" s="30" t="n"/>
      <c r="Z200" s="30" t="n"/>
    </row>
    <row r="201" ht="15.75" customHeight="1" s="134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30" t="n"/>
      <c r="J201" s="30" t="n"/>
      <c r="K201" s="30" t="n"/>
      <c r="L201" s="30" t="n"/>
      <c r="M201" s="30" t="n"/>
      <c r="N201" s="30" t="n"/>
      <c r="O201" s="30" t="n"/>
      <c r="P201" s="30" t="n"/>
      <c r="Q201" s="30" t="n"/>
      <c r="R201" s="30" t="n"/>
      <c r="S201" s="30" t="n"/>
      <c r="T201" s="30" t="n"/>
      <c r="U201" s="30" t="n"/>
      <c r="V201" s="30" t="n"/>
      <c r="W201" s="30" t="n"/>
      <c r="X201" s="30" t="n"/>
      <c r="Y201" s="30" t="n"/>
      <c r="Z201" s="30" t="n"/>
    </row>
    <row r="202" ht="15.75" customHeight="1" s="134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30" t="n"/>
      <c r="J202" s="30" t="n"/>
      <c r="K202" s="30" t="n"/>
      <c r="L202" s="30" t="n"/>
      <c r="M202" s="30" t="n"/>
      <c r="N202" s="30" t="n"/>
      <c r="O202" s="30" t="n"/>
      <c r="P202" s="30" t="n"/>
      <c r="Q202" s="30" t="n"/>
      <c r="R202" s="30" t="n"/>
      <c r="S202" s="30" t="n"/>
      <c r="T202" s="30" t="n"/>
      <c r="U202" s="30" t="n"/>
      <c r="V202" s="30" t="n"/>
      <c r="W202" s="30" t="n"/>
      <c r="X202" s="30" t="n"/>
      <c r="Y202" s="30" t="n"/>
      <c r="Z202" s="30" t="n"/>
    </row>
    <row r="203" ht="15.75" customHeight="1" s="134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30" t="n"/>
      <c r="J203" s="30" t="n"/>
      <c r="K203" s="30" t="n"/>
      <c r="L203" s="30" t="n"/>
      <c r="M203" s="30" t="n"/>
      <c r="N203" s="30" t="n"/>
      <c r="O203" s="30" t="n"/>
      <c r="P203" s="30" t="n"/>
      <c r="Q203" s="30" t="n"/>
      <c r="R203" s="30" t="n"/>
      <c r="S203" s="30" t="n"/>
      <c r="T203" s="30" t="n"/>
      <c r="U203" s="30" t="n"/>
      <c r="V203" s="30" t="n"/>
      <c r="W203" s="30" t="n"/>
      <c r="X203" s="30" t="n"/>
      <c r="Y203" s="30" t="n"/>
      <c r="Z203" s="30" t="n"/>
    </row>
    <row r="204" ht="15.75" customHeight="1" s="13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30" t="n"/>
      <c r="J204" s="30" t="n"/>
      <c r="K204" s="30" t="n"/>
      <c r="L204" s="30" t="n"/>
      <c r="M204" s="30" t="n"/>
      <c r="N204" s="30" t="n"/>
      <c r="O204" s="30" t="n"/>
      <c r="P204" s="30" t="n"/>
      <c r="Q204" s="30" t="n"/>
      <c r="R204" s="30" t="n"/>
      <c r="S204" s="30" t="n"/>
      <c r="T204" s="30" t="n"/>
      <c r="U204" s="30" t="n"/>
      <c r="V204" s="30" t="n"/>
      <c r="W204" s="30" t="n"/>
      <c r="X204" s="30" t="n"/>
      <c r="Y204" s="30" t="n"/>
      <c r="Z204" s="30" t="n"/>
    </row>
    <row r="205" ht="15.75" customHeight="1" s="134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30" t="n"/>
      <c r="J205" s="30" t="n"/>
      <c r="K205" s="30" t="n"/>
      <c r="L205" s="30" t="n"/>
      <c r="M205" s="30" t="n"/>
      <c r="N205" s="30" t="n"/>
      <c r="O205" s="30" t="n"/>
      <c r="P205" s="30" t="n"/>
      <c r="Q205" s="30" t="n"/>
      <c r="R205" s="30" t="n"/>
      <c r="S205" s="30" t="n"/>
      <c r="T205" s="30" t="n"/>
      <c r="U205" s="30" t="n"/>
      <c r="V205" s="30" t="n"/>
      <c r="W205" s="30" t="n"/>
      <c r="X205" s="30" t="n"/>
      <c r="Y205" s="30" t="n"/>
      <c r="Z205" s="30" t="n"/>
    </row>
    <row r="206" ht="15.75" customHeight="1" s="134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30" t="n"/>
      <c r="J206" s="30" t="n"/>
      <c r="K206" s="30" t="n"/>
      <c r="L206" s="30" t="n"/>
      <c r="M206" s="30" t="n"/>
      <c r="N206" s="30" t="n"/>
      <c r="O206" s="30" t="n"/>
      <c r="P206" s="30" t="n"/>
      <c r="Q206" s="30" t="n"/>
      <c r="R206" s="30" t="n"/>
      <c r="S206" s="30" t="n"/>
      <c r="T206" s="30" t="n"/>
      <c r="U206" s="30" t="n"/>
      <c r="V206" s="30" t="n"/>
      <c r="W206" s="30" t="n"/>
      <c r="X206" s="30" t="n"/>
      <c r="Y206" s="30" t="n"/>
      <c r="Z206" s="30" t="n"/>
    </row>
    <row r="207" ht="15.75" customHeight="1" s="134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30" t="n"/>
      <c r="J207" s="30" t="n"/>
      <c r="K207" s="30" t="n"/>
      <c r="L207" s="30" t="n"/>
      <c r="M207" s="30" t="n"/>
      <c r="N207" s="30" t="n"/>
      <c r="O207" s="30" t="n"/>
      <c r="P207" s="30" t="n"/>
      <c r="Q207" s="30" t="n"/>
      <c r="R207" s="30" t="n"/>
      <c r="S207" s="30" t="n"/>
      <c r="T207" s="30" t="n"/>
      <c r="U207" s="30" t="n"/>
      <c r="V207" s="30" t="n"/>
      <c r="W207" s="30" t="n"/>
      <c r="X207" s="30" t="n"/>
      <c r="Y207" s="30" t="n"/>
      <c r="Z207" s="30" t="n"/>
    </row>
    <row r="208" ht="15.75" customHeight="1" s="134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30" t="n"/>
      <c r="J208" s="30" t="n"/>
      <c r="K208" s="30" t="n"/>
      <c r="L208" s="30" t="n"/>
      <c r="M208" s="30" t="n"/>
      <c r="N208" s="30" t="n"/>
      <c r="O208" s="30" t="n"/>
      <c r="P208" s="30" t="n"/>
      <c r="Q208" s="30" t="n"/>
      <c r="R208" s="30" t="n"/>
      <c r="S208" s="30" t="n"/>
      <c r="T208" s="30" t="n"/>
      <c r="U208" s="30" t="n"/>
      <c r="V208" s="30" t="n"/>
      <c r="W208" s="30" t="n"/>
      <c r="X208" s="30" t="n"/>
      <c r="Y208" s="30" t="n"/>
      <c r="Z208" s="30" t="n"/>
    </row>
    <row r="209" ht="15.75" customHeight="1" s="134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30" t="n"/>
      <c r="J209" s="30" t="n"/>
      <c r="K209" s="30" t="n"/>
      <c r="L209" s="30" t="n"/>
      <c r="M209" s="30" t="n"/>
      <c r="N209" s="30" t="n"/>
      <c r="O209" s="30" t="n"/>
      <c r="P209" s="30" t="n"/>
      <c r="Q209" s="30" t="n"/>
      <c r="R209" s="30" t="n"/>
      <c r="S209" s="30" t="n"/>
      <c r="T209" s="30" t="n"/>
      <c r="U209" s="30" t="n"/>
      <c r="V209" s="30" t="n"/>
      <c r="W209" s="30" t="n"/>
      <c r="X209" s="30" t="n"/>
      <c r="Y209" s="30" t="n"/>
      <c r="Z209" s="30" t="n"/>
    </row>
    <row r="210" ht="15.75" customHeight="1" s="134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30" t="n"/>
      <c r="J210" s="30" t="n"/>
      <c r="K210" s="30" t="n"/>
      <c r="L210" s="30" t="n"/>
      <c r="M210" s="30" t="n"/>
      <c r="N210" s="30" t="n"/>
      <c r="O210" s="30" t="n"/>
      <c r="P210" s="30" t="n"/>
      <c r="Q210" s="30" t="n"/>
      <c r="R210" s="30" t="n"/>
      <c r="S210" s="30" t="n"/>
      <c r="T210" s="30" t="n"/>
      <c r="U210" s="30" t="n"/>
      <c r="V210" s="30" t="n"/>
      <c r="W210" s="30" t="n"/>
      <c r="X210" s="30" t="n"/>
      <c r="Y210" s="30" t="n"/>
      <c r="Z210" s="30" t="n"/>
    </row>
    <row r="211" ht="15.75" customHeight="1" s="134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30" t="n"/>
      <c r="J211" s="30" t="n"/>
      <c r="K211" s="30" t="n"/>
      <c r="L211" s="30" t="n"/>
      <c r="M211" s="30" t="n"/>
      <c r="N211" s="30" t="n"/>
      <c r="O211" s="30" t="n"/>
      <c r="P211" s="30" t="n"/>
      <c r="Q211" s="30" t="n"/>
      <c r="R211" s="30" t="n"/>
      <c r="S211" s="30" t="n"/>
      <c r="T211" s="30" t="n"/>
      <c r="U211" s="30" t="n"/>
      <c r="V211" s="30" t="n"/>
      <c r="W211" s="30" t="n"/>
      <c r="X211" s="30" t="n"/>
      <c r="Y211" s="30" t="n"/>
      <c r="Z211" s="30" t="n"/>
    </row>
    <row r="212" ht="15.75" customHeight="1" s="134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30" t="n"/>
      <c r="J212" s="30" t="n"/>
      <c r="K212" s="30" t="n"/>
      <c r="L212" s="30" t="n"/>
      <c r="M212" s="30" t="n"/>
      <c r="N212" s="30" t="n"/>
      <c r="O212" s="30" t="n"/>
      <c r="P212" s="30" t="n"/>
      <c r="Q212" s="30" t="n"/>
      <c r="R212" s="30" t="n"/>
      <c r="S212" s="30" t="n"/>
      <c r="T212" s="30" t="n"/>
      <c r="U212" s="30" t="n"/>
      <c r="V212" s="30" t="n"/>
      <c r="W212" s="30" t="n"/>
      <c r="X212" s="30" t="n"/>
      <c r="Y212" s="30" t="n"/>
      <c r="Z212" s="30" t="n"/>
    </row>
    <row r="213" ht="15.75" customHeight="1" s="134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30" t="n"/>
      <c r="J213" s="30" t="n"/>
      <c r="K213" s="30" t="n"/>
      <c r="L213" s="30" t="n"/>
      <c r="M213" s="30" t="n"/>
      <c r="N213" s="30" t="n"/>
      <c r="O213" s="30" t="n"/>
      <c r="P213" s="30" t="n"/>
      <c r="Q213" s="30" t="n"/>
      <c r="R213" s="30" t="n"/>
      <c r="S213" s="30" t="n"/>
      <c r="T213" s="30" t="n"/>
      <c r="U213" s="30" t="n"/>
      <c r="V213" s="30" t="n"/>
      <c r="W213" s="30" t="n"/>
      <c r="X213" s="30" t="n"/>
      <c r="Y213" s="30" t="n"/>
      <c r="Z213" s="30" t="n"/>
    </row>
    <row r="214" ht="15.75" customHeight="1" s="13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30" t="n"/>
      <c r="J214" s="30" t="n"/>
      <c r="K214" s="30" t="n"/>
      <c r="L214" s="30" t="n"/>
      <c r="M214" s="30" t="n"/>
      <c r="N214" s="30" t="n"/>
      <c r="O214" s="30" t="n"/>
      <c r="P214" s="30" t="n"/>
      <c r="Q214" s="30" t="n"/>
      <c r="R214" s="30" t="n"/>
      <c r="S214" s="30" t="n"/>
      <c r="T214" s="30" t="n"/>
      <c r="U214" s="30" t="n"/>
      <c r="V214" s="30" t="n"/>
      <c r="W214" s="30" t="n"/>
      <c r="X214" s="30" t="n"/>
      <c r="Y214" s="30" t="n"/>
      <c r="Z214" s="30" t="n"/>
    </row>
    <row r="215" ht="15.75" customHeight="1" s="134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30" t="n"/>
      <c r="J215" s="30" t="n"/>
      <c r="K215" s="30" t="n"/>
      <c r="L215" s="30" t="n"/>
      <c r="M215" s="30" t="n"/>
      <c r="N215" s="30" t="n"/>
      <c r="O215" s="30" t="n"/>
      <c r="P215" s="30" t="n"/>
      <c r="Q215" s="30" t="n"/>
      <c r="R215" s="30" t="n"/>
      <c r="S215" s="30" t="n"/>
      <c r="T215" s="30" t="n"/>
      <c r="U215" s="30" t="n"/>
      <c r="V215" s="30" t="n"/>
      <c r="W215" s="30" t="n"/>
      <c r="X215" s="30" t="n"/>
      <c r="Y215" s="30" t="n"/>
      <c r="Z215" s="30" t="n"/>
    </row>
    <row r="216" ht="15.75" customHeight="1" s="134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30" t="n"/>
      <c r="J216" s="30" t="n"/>
      <c r="K216" s="30" t="n"/>
      <c r="L216" s="30" t="n"/>
      <c r="M216" s="30" t="n"/>
      <c r="N216" s="30" t="n"/>
      <c r="O216" s="30" t="n"/>
      <c r="P216" s="30" t="n"/>
      <c r="Q216" s="30" t="n"/>
      <c r="R216" s="30" t="n"/>
      <c r="S216" s="30" t="n"/>
      <c r="T216" s="30" t="n"/>
      <c r="U216" s="30" t="n"/>
      <c r="V216" s="30" t="n"/>
      <c r="W216" s="30" t="n"/>
      <c r="X216" s="30" t="n"/>
      <c r="Y216" s="30" t="n"/>
      <c r="Z216" s="30" t="n"/>
    </row>
    <row r="217" ht="15.75" customHeight="1" s="134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30" t="n"/>
      <c r="J217" s="30" t="n"/>
      <c r="K217" s="30" t="n"/>
      <c r="L217" s="30" t="n"/>
      <c r="M217" s="30" t="n"/>
      <c r="N217" s="30" t="n"/>
      <c r="O217" s="30" t="n"/>
      <c r="P217" s="30" t="n"/>
      <c r="Q217" s="30" t="n"/>
      <c r="R217" s="30" t="n"/>
      <c r="S217" s="30" t="n"/>
      <c r="T217" s="30" t="n"/>
      <c r="U217" s="30" t="n"/>
      <c r="V217" s="30" t="n"/>
      <c r="W217" s="30" t="n"/>
      <c r="X217" s="30" t="n"/>
      <c r="Y217" s="30" t="n"/>
      <c r="Z217" s="30" t="n"/>
    </row>
    <row r="218" ht="15.75" customHeight="1" s="134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30" t="n"/>
      <c r="J218" s="30" t="n"/>
      <c r="K218" s="30" t="n"/>
      <c r="L218" s="30" t="n"/>
      <c r="M218" s="30" t="n"/>
      <c r="N218" s="30" t="n"/>
      <c r="O218" s="30" t="n"/>
      <c r="P218" s="30" t="n"/>
      <c r="Q218" s="30" t="n"/>
      <c r="R218" s="30" t="n"/>
      <c r="S218" s="30" t="n"/>
      <c r="T218" s="30" t="n"/>
      <c r="U218" s="30" t="n"/>
      <c r="V218" s="30" t="n"/>
      <c r="W218" s="30" t="n"/>
      <c r="X218" s="30" t="n"/>
      <c r="Y218" s="30" t="n"/>
      <c r="Z218" s="30" t="n"/>
    </row>
    <row r="219" ht="15.75" customHeight="1" s="134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30" t="n"/>
      <c r="J219" s="30" t="n"/>
      <c r="K219" s="30" t="n"/>
      <c r="L219" s="30" t="n"/>
      <c r="M219" s="30" t="n"/>
      <c r="N219" s="30" t="n"/>
      <c r="O219" s="30" t="n"/>
      <c r="P219" s="30" t="n"/>
      <c r="Q219" s="30" t="n"/>
      <c r="R219" s="30" t="n"/>
      <c r="S219" s="30" t="n"/>
      <c r="T219" s="30" t="n"/>
      <c r="U219" s="30" t="n"/>
      <c r="V219" s="30" t="n"/>
      <c r="W219" s="30" t="n"/>
      <c r="X219" s="30" t="n"/>
      <c r="Y219" s="30" t="n"/>
      <c r="Z219" s="30" t="n"/>
    </row>
    <row r="220" ht="15.75" customHeight="1" s="134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30" t="n"/>
      <c r="J220" s="30" t="n"/>
      <c r="K220" s="30" t="n"/>
      <c r="L220" s="30" t="n"/>
      <c r="M220" s="30" t="n"/>
      <c r="N220" s="30" t="n"/>
      <c r="O220" s="30" t="n"/>
      <c r="P220" s="30" t="n"/>
      <c r="Q220" s="30" t="n"/>
      <c r="R220" s="30" t="n"/>
      <c r="S220" s="30" t="n"/>
      <c r="T220" s="30" t="n"/>
      <c r="U220" s="30" t="n"/>
      <c r="V220" s="30" t="n"/>
      <c r="W220" s="30" t="n"/>
      <c r="X220" s="30" t="n"/>
      <c r="Y220" s="30" t="n"/>
      <c r="Z220" s="30" t="n"/>
    </row>
    <row r="221" ht="15.75" customHeight="1" s="134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30" t="n"/>
      <c r="J221" s="30" t="n"/>
      <c r="K221" s="30" t="n"/>
      <c r="L221" s="30" t="n"/>
      <c r="M221" s="30" t="n"/>
      <c r="N221" s="30" t="n"/>
      <c r="O221" s="30" t="n"/>
      <c r="P221" s="30" t="n"/>
      <c r="Q221" s="30" t="n"/>
      <c r="R221" s="30" t="n"/>
      <c r="S221" s="30" t="n"/>
      <c r="T221" s="30" t="n"/>
      <c r="U221" s="30" t="n"/>
      <c r="V221" s="30" t="n"/>
      <c r="W221" s="30" t="n"/>
      <c r="X221" s="30" t="n"/>
      <c r="Y221" s="30" t="n"/>
      <c r="Z221" s="30" t="n"/>
    </row>
    <row r="222" ht="15.75" customHeight="1" s="134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30" t="n"/>
      <c r="J222" s="30" t="n"/>
      <c r="K222" s="30" t="n"/>
      <c r="L222" s="30" t="n"/>
      <c r="M222" s="30" t="n"/>
      <c r="N222" s="30" t="n"/>
      <c r="O222" s="30" t="n"/>
      <c r="P222" s="30" t="n"/>
      <c r="Q222" s="30" t="n"/>
      <c r="R222" s="30" t="n"/>
      <c r="S222" s="30" t="n"/>
      <c r="T222" s="30" t="n"/>
      <c r="U222" s="30" t="n"/>
      <c r="V222" s="30" t="n"/>
      <c r="W222" s="30" t="n"/>
      <c r="X222" s="30" t="n"/>
      <c r="Y222" s="30" t="n"/>
      <c r="Z222" s="30" t="n"/>
    </row>
    <row r="223" ht="15.75" customHeight="1" s="134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30" t="n"/>
      <c r="J223" s="30" t="n"/>
      <c r="K223" s="30" t="n"/>
      <c r="L223" s="30" t="n"/>
      <c r="M223" s="30" t="n"/>
      <c r="N223" s="30" t="n"/>
      <c r="O223" s="30" t="n"/>
      <c r="P223" s="30" t="n"/>
      <c r="Q223" s="30" t="n"/>
      <c r="R223" s="30" t="n"/>
      <c r="S223" s="30" t="n"/>
      <c r="T223" s="30" t="n"/>
      <c r="U223" s="30" t="n"/>
      <c r="V223" s="30" t="n"/>
      <c r="W223" s="30" t="n"/>
      <c r="X223" s="30" t="n"/>
      <c r="Y223" s="30" t="n"/>
      <c r="Z223" s="30" t="n"/>
    </row>
    <row r="224" ht="15.75" customHeight="1" s="13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30" t="n"/>
      <c r="J224" s="30" t="n"/>
      <c r="K224" s="30" t="n"/>
      <c r="L224" s="30" t="n"/>
      <c r="M224" s="30" t="n"/>
      <c r="N224" s="30" t="n"/>
      <c r="O224" s="30" t="n"/>
      <c r="P224" s="30" t="n"/>
      <c r="Q224" s="30" t="n"/>
      <c r="R224" s="30" t="n"/>
      <c r="S224" s="30" t="n"/>
      <c r="T224" s="30" t="n"/>
      <c r="U224" s="30" t="n"/>
      <c r="V224" s="30" t="n"/>
      <c r="W224" s="30" t="n"/>
      <c r="X224" s="30" t="n"/>
      <c r="Y224" s="30" t="n"/>
      <c r="Z224" s="30" t="n"/>
    </row>
    <row r="225" ht="15.75" customHeight="1" s="134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30" t="n"/>
      <c r="J225" s="30" t="n"/>
      <c r="K225" s="30" t="n"/>
      <c r="L225" s="30" t="n"/>
      <c r="M225" s="30" t="n"/>
      <c r="N225" s="30" t="n"/>
      <c r="O225" s="30" t="n"/>
      <c r="P225" s="30" t="n"/>
      <c r="Q225" s="30" t="n"/>
      <c r="R225" s="30" t="n"/>
      <c r="S225" s="30" t="n"/>
      <c r="T225" s="30" t="n"/>
      <c r="U225" s="30" t="n"/>
      <c r="V225" s="30" t="n"/>
      <c r="W225" s="30" t="n"/>
      <c r="X225" s="30" t="n"/>
      <c r="Y225" s="30" t="n"/>
      <c r="Z225" s="30" t="n"/>
    </row>
    <row r="226" ht="15.75" customHeight="1" s="134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30" t="n"/>
      <c r="J226" s="30" t="n"/>
      <c r="K226" s="30" t="n"/>
      <c r="L226" s="30" t="n"/>
      <c r="M226" s="30" t="n"/>
      <c r="N226" s="30" t="n"/>
      <c r="O226" s="30" t="n"/>
      <c r="P226" s="30" t="n"/>
      <c r="Q226" s="30" t="n"/>
      <c r="R226" s="30" t="n"/>
      <c r="S226" s="30" t="n"/>
      <c r="T226" s="30" t="n"/>
      <c r="U226" s="30" t="n"/>
      <c r="V226" s="30" t="n"/>
      <c r="W226" s="30" t="n"/>
      <c r="X226" s="30" t="n"/>
      <c r="Y226" s="30" t="n"/>
      <c r="Z226" s="30" t="n"/>
    </row>
    <row r="227" ht="15.75" customHeight="1" s="134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30" t="n"/>
      <c r="J227" s="30" t="n"/>
      <c r="K227" s="30" t="n"/>
      <c r="L227" s="30" t="n"/>
      <c r="M227" s="30" t="n"/>
      <c r="N227" s="30" t="n"/>
      <c r="O227" s="30" t="n"/>
      <c r="P227" s="30" t="n"/>
      <c r="Q227" s="30" t="n"/>
      <c r="R227" s="30" t="n"/>
      <c r="S227" s="30" t="n"/>
      <c r="T227" s="30" t="n"/>
      <c r="U227" s="30" t="n"/>
      <c r="V227" s="30" t="n"/>
      <c r="W227" s="30" t="n"/>
      <c r="X227" s="30" t="n"/>
      <c r="Y227" s="30" t="n"/>
      <c r="Z227" s="30" t="n"/>
    </row>
    <row r="228" ht="15.75" customHeight="1" s="134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30" t="n"/>
      <c r="J228" s="30" t="n"/>
      <c r="K228" s="30" t="n"/>
      <c r="L228" s="30" t="n"/>
      <c r="M228" s="30" t="n"/>
      <c r="N228" s="30" t="n"/>
      <c r="O228" s="30" t="n"/>
      <c r="P228" s="30" t="n"/>
      <c r="Q228" s="30" t="n"/>
      <c r="R228" s="30" t="n"/>
      <c r="S228" s="30" t="n"/>
      <c r="T228" s="30" t="n"/>
      <c r="U228" s="30" t="n"/>
      <c r="V228" s="30" t="n"/>
      <c r="W228" s="30" t="n"/>
      <c r="X228" s="30" t="n"/>
      <c r="Y228" s="30" t="n"/>
      <c r="Z228" s="30" t="n"/>
    </row>
    <row r="229" ht="15.75" customHeight="1" s="134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30" t="n"/>
      <c r="J229" s="30" t="n"/>
      <c r="K229" s="30" t="n"/>
      <c r="L229" s="30" t="n"/>
      <c r="M229" s="30" t="n"/>
      <c r="N229" s="30" t="n"/>
      <c r="O229" s="30" t="n"/>
      <c r="P229" s="30" t="n"/>
      <c r="Q229" s="30" t="n"/>
      <c r="R229" s="30" t="n"/>
      <c r="S229" s="30" t="n"/>
      <c r="T229" s="30" t="n"/>
      <c r="U229" s="30" t="n"/>
      <c r="V229" s="30" t="n"/>
      <c r="W229" s="30" t="n"/>
      <c r="X229" s="30" t="n"/>
      <c r="Y229" s="30" t="n"/>
      <c r="Z229" s="30" t="n"/>
    </row>
    <row r="230" ht="15.75" customHeight="1" s="134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30" t="n"/>
      <c r="J230" s="30" t="n"/>
      <c r="K230" s="30" t="n"/>
      <c r="L230" s="30" t="n"/>
      <c r="M230" s="30" t="n"/>
      <c r="N230" s="30" t="n"/>
      <c r="O230" s="30" t="n"/>
      <c r="P230" s="30" t="n"/>
      <c r="Q230" s="30" t="n"/>
      <c r="R230" s="30" t="n"/>
      <c r="S230" s="30" t="n"/>
      <c r="T230" s="30" t="n"/>
      <c r="U230" s="30" t="n"/>
      <c r="V230" s="30" t="n"/>
      <c r="W230" s="30" t="n"/>
      <c r="X230" s="30" t="n"/>
      <c r="Y230" s="30" t="n"/>
      <c r="Z230" s="30" t="n"/>
    </row>
    <row r="231" ht="15.75" customHeight="1" s="134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30" t="n"/>
      <c r="J231" s="30" t="n"/>
      <c r="K231" s="30" t="n"/>
      <c r="L231" s="30" t="n"/>
      <c r="M231" s="30" t="n"/>
      <c r="N231" s="30" t="n"/>
      <c r="O231" s="30" t="n"/>
      <c r="P231" s="30" t="n"/>
      <c r="Q231" s="30" t="n"/>
      <c r="R231" s="30" t="n"/>
      <c r="S231" s="30" t="n"/>
      <c r="T231" s="30" t="n"/>
      <c r="U231" s="30" t="n"/>
      <c r="V231" s="30" t="n"/>
      <c r="W231" s="30" t="n"/>
      <c r="X231" s="30" t="n"/>
      <c r="Y231" s="30" t="n"/>
      <c r="Z231" s="30" t="n"/>
    </row>
    <row r="232" ht="15.75" customHeight="1" s="134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30" t="n"/>
      <c r="J232" s="30" t="n"/>
      <c r="K232" s="30" t="n"/>
      <c r="L232" s="30" t="n"/>
      <c r="M232" s="30" t="n"/>
      <c r="N232" s="30" t="n"/>
      <c r="O232" s="30" t="n"/>
      <c r="P232" s="30" t="n"/>
      <c r="Q232" s="30" t="n"/>
      <c r="R232" s="30" t="n"/>
      <c r="S232" s="30" t="n"/>
      <c r="T232" s="30" t="n"/>
      <c r="U232" s="30" t="n"/>
      <c r="V232" s="30" t="n"/>
      <c r="W232" s="30" t="n"/>
      <c r="X232" s="30" t="n"/>
      <c r="Y232" s="30" t="n"/>
      <c r="Z232" s="30" t="n"/>
    </row>
    <row r="233" ht="15.75" customHeight="1" s="134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30" t="n"/>
      <c r="J233" s="30" t="n"/>
      <c r="K233" s="30" t="n"/>
      <c r="L233" s="30" t="n"/>
      <c r="M233" s="30" t="n"/>
      <c r="N233" s="30" t="n"/>
      <c r="O233" s="30" t="n"/>
      <c r="P233" s="30" t="n"/>
      <c r="Q233" s="30" t="n"/>
      <c r="R233" s="30" t="n"/>
      <c r="S233" s="30" t="n"/>
      <c r="T233" s="30" t="n"/>
      <c r="U233" s="30" t="n"/>
      <c r="V233" s="30" t="n"/>
      <c r="W233" s="30" t="n"/>
      <c r="X233" s="30" t="n"/>
      <c r="Y233" s="30" t="n"/>
      <c r="Z233" s="30" t="n"/>
    </row>
    <row r="234" ht="15.75" customHeight="1" s="1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30" t="n"/>
      <c r="J234" s="30" t="n"/>
      <c r="K234" s="30" t="n"/>
      <c r="L234" s="30" t="n"/>
      <c r="M234" s="30" t="n"/>
      <c r="N234" s="30" t="n"/>
      <c r="O234" s="30" t="n"/>
      <c r="P234" s="30" t="n"/>
      <c r="Q234" s="30" t="n"/>
      <c r="R234" s="30" t="n"/>
      <c r="S234" s="30" t="n"/>
      <c r="T234" s="30" t="n"/>
      <c r="U234" s="30" t="n"/>
      <c r="V234" s="30" t="n"/>
      <c r="W234" s="30" t="n"/>
      <c r="X234" s="30" t="n"/>
      <c r="Y234" s="30" t="n"/>
      <c r="Z234" s="30" t="n"/>
    </row>
    <row r="235" ht="15.75" customHeight="1" s="134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30" t="n"/>
      <c r="J235" s="30" t="n"/>
      <c r="K235" s="30" t="n"/>
      <c r="L235" s="30" t="n"/>
      <c r="M235" s="30" t="n"/>
      <c r="N235" s="30" t="n"/>
      <c r="O235" s="30" t="n"/>
      <c r="P235" s="30" t="n"/>
      <c r="Q235" s="30" t="n"/>
      <c r="R235" s="30" t="n"/>
      <c r="S235" s="30" t="n"/>
      <c r="T235" s="30" t="n"/>
      <c r="U235" s="30" t="n"/>
      <c r="V235" s="30" t="n"/>
      <c r="W235" s="30" t="n"/>
      <c r="X235" s="30" t="n"/>
      <c r="Y235" s="30" t="n"/>
      <c r="Z235" s="30" t="n"/>
    </row>
    <row r="236" ht="15.75" customHeight="1" s="134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30" t="n"/>
      <c r="J236" s="30" t="n"/>
      <c r="K236" s="30" t="n"/>
      <c r="L236" s="30" t="n"/>
      <c r="M236" s="30" t="n"/>
      <c r="N236" s="30" t="n"/>
      <c r="O236" s="30" t="n"/>
      <c r="P236" s="30" t="n"/>
      <c r="Q236" s="30" t="n"/>
      <c r="R236" s="30" t="n"/>
      <c r="S236" s="30" t="n"/>
      <c r="T236" s="30" t="n"/>
      <c r="U236" s="30" t="n"/>
      <c r="V236" s="30" t="n"/>
      <c r="W236" s="30" t="n"/>
      <c r="X236" s="30" t="n"/>
      <c r="Y236" s="30" t="n"/>
      <c r="Z236" s="30" t="n"/>
    </row>
    <row r="237" ht="15.75" customHeight="1" s="134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30" t="n"/>
      <c r="J237" s="30" t="n"/>
      <c r="K237" s="30" t="n"/>
      <c r="L237" s="30" t="n"/>
      <c r="M237" s="30" t="n"/>
      <c r="N237" s="30" t="n"/>
      <c r="O237" s="30" t="n"/>
      <c r="P237" s="30" t="n"/>
      <c r="Q237" s="30" t="n"/>
      <c r="R237" s="30" t="n"/>
      <c r="S237" s="30" t="n"/>
      <c r="T237" s="30" t="n"/>
      <c r="U237" s="30" t="n"/>
      <c r="V237" s="30" t="n"/>
      <c r="W237" s="30" t="n"/>
      <c r="X237" s="30" t="n"/>
      <c r="Y237" s="30" t="n"/>
      <c r="Z237" s="30" t="n"/>
    </row>
    <row r="238" ht="15.75" customHeight="1" s="134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30" t="n"/>
      <c r="J238" s="30" t="n"/>
      <c r="K238" s="30" t="n"/>
      <c r="L238" s="30" t="n"/>
      <c r="M238" s="30" t="n"/>
      <c r="N238" s="30" t="n"/>
      <c r="O238" s="30" t="n"/>
      <c r="P238" s="30" t="n"/>
      <c r="Q238" s="30" t="n"/>
      <c r="R238" s="30" t="n"/>
      <c r="S238" s="30" t="n"/>
      <c r="T238" s="30" t="n"/>
      <c r="U238" s="30" t="n"/>
      <c r="V238" s="30" t="n"/>
      <c r="W238" s="30" t="n"/>
      <c r="X238" s="30" t="n"/>
      <c r="Y238" s="30" t="n"/>
      <c r="Z238" s="30" t="n"/>
    </row>
    <row r="239" ht="15.75" customHeight="1" s="134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30" t="n"/>
      <c r="J239" s="30" t="n"/>
      <c r="K239" s="30" t="n"/>
      <c r="L239" s="30" t="n"/>
      <c r="M239" s="30" t="n"/>
      <c r="N239" s="30" t="n"/>
      <c r="O239" s="30" t="n"/>
      <c r="P239" s="30" t="n"/>
      <c r="Q239" s="30" t="n"/>
      <c r="R239" s="30" t="n"/>
      <c r="S239" s="30" t="n"/>
      <c r="T239" s="30" t="n"/>
      <c r="U239" s="30" t="n"/>
      <c r="V239" s="30" t="n"/>
      <c r="W239" s="30" t="n"/>
      <c r="X239" s="30" t="n"/>
      <c r="Y239" s="30" t="n"/>
      <c r="Z239" s="30" t="n"/>
    </row>
    <row r="240" ht="15.75" customHeight="1" s="134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30" t="n"/>
      <c r="J240" s="30" t="n"/>
      <c r="K240" s="30" t="n"/>
      <c r="L240" s="30" t="n"/>
      <c r="M240" s="30" t="n"/>
      <c r="N240" s="30" t="n"/>
      <c r="O240" s="30" t="n"/>
      <c r="P240" s="30" t="n"/>
      <c r="Q240" s="30" t="n"/>
      <c r="R240" s="30" t="n"/>
      <c r="S240" s="30" t="n"/>
      <c r="T240" s="30" t="n"/>
      <c r="U240" s="30" t="n"/>
      <c r="V240" s="30" t="n"/>
      <c r="W240" s="30" t="n"/>
      <c r="X240" s="30" t="n"/>
      <c r="Y240" s="30" t="n"/>
      <c r="Z240" s="30" t="n"/>
    </row>
    <row r="241" ht="15.75" customHeight="1" s="134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30" t="n"/>
      <c r="J241" s="30" t="n"/>
      <c r="K241" s="30" t="n"/>
      <c r="L241" s="30" t="n"/>
      <c r="M241" s="30" t="n"/>
      <c r="N241" s="30" t="n"/>
      <c r="O241" s="30" t="n"/>
      <c r="P241" s="30" t="n"/>
      <c r="Q241" s="30" t="n"/>
      <c r="R241" s="30" t="n"/>
      <c r="S241" s="30" t="n"/>
      <c r="T241" s="30" t="n"/>
      <c r="U241" s="30" t="n"/>
      <c r="V241" s="30" t="n"/>
      <c r="W241" s="30" t="n"/>
      <c r="X241" s="30" t="n"/>
      <c r="Y241" s="30" t="n"/>
      <c r="Z241" s="30" t="n"/>
    </row>
    <row r="242" ht="15.75" customHeight="1" s="134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30" t="n"/>
      <c r="J242" s="30" t="n"/>
      <c r="K242" s="30" t="n"/>
      <c r="L242" s="30" t="n"/>
      <c r="M242" s="30" t="n"/>
      <c r="N242" s="30" t="n"/>
      <c r="O242" s="30" t="n"/>
      <c r="P242" s="30" t="n"/>
      <c r="Q242" s="30" t="n"/>
      <c r="R242" s="30" t="n"/>
      <c r="S242" s="30" t="n"/>
      <c r="T242" s="30" t="n"/>
      <c r="U242" s="30" t="n"/>
      <c r="V242" s="30" t="n"/>
      <c r="W242" s="30" t="n"/>
      <c r="X242" s="30" t="n"/>
      <c r="Y242" s="30" t="n"/>
      <c r="Z242" s="30" t="n"/>
    </row>
    <row r="243" ht="15.75" customHeight="1" s="134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30" t="n"/>
      <c r="J243" s="30" t="n"/>
      <c r="K243" s="30" t="n"/>
      <c r="L243" s="30" t="n"/>
      <c r="M243" s="30" t="n"/>
      <c r="N243" s="30" t="n"/>
      <c r="O243" s="30" t="n"/>
      <c r="P243" s="30" t="n"/>
      <c r="Q243" s="30" t="n"/>
      <c r="R243" s="30" t="n"/>
      <c r="S243" s="30" t="n"/>
      <c r="T243" s="30" t="n"/>
      <c r="U243" s="30" t="n"/>
      <c r="V243" s="30" t="n"/>
      <c r="W243" s="30" t="n"/>
      <c r="X243" s="30" t="n"/>
      <c r="Y243" s="30" t="n"/>
      <c r="Z243" s="30" t="n"/>
    </row>
    <row r="244" ht="15.75" customHeight="1" s="13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30" t="n"/>
      <c r="J244" s="30" t="n"/>
      <c r="K244" s="30" t="n"/>
      <c r="L244" s="30" t="n"/>
      <c r="M244" s="30" t="n"/>
      <c r="N244" s="30" t="n"/>
      <c r="O244" s="30" t="n"/>
      <c r="P244" s="30" t="n"/>
      <c r="Q244" s="30" t="n"/>
      <c r="R244" s="30" t="n"/>
      <c r="S244" s="30" t="n"/>
      <c r="T244" s="30" t="n"/>
      <c r="U244" s="30" t="n"/>
      <c r="V244" s="30" t="n"/>
      <c r="W244" s="30" t="n"/>
      <c r="X244" s="30" t="n"/>
      <c r="Y244" s="30" t="n"/>
      <c r="Z244" s="30" t="n"/>
    </row>
    <row r="245" ht="15.75" customHeight="1" s="134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30" t="n"/>
      <c r="J245" s="30" t="n"/>
      <c r="K245" s="30" t="n"/>
      <c r="L245" s="30" t="n"/>
      <c r="M245" s="30" t="n"/>
      <c r="N245" s="30" t="n"/>
      <c r="O245" s="30" t="n"/>
      <c r="P245" s="30" t="n"/>
      <c r="Q245" s="30" t="n"/>
      <c r="R245" s="30" t="n"/>
      <c r="S245" s="30" t="n"/>
      <c r="T245" s="30" t="n"/>
      <c r="U245" s="30" t="n"/>
      <c r="V245" s="30" t="n"/>
      <c r="W245" s="30" t="n"/>
      <c r="X245" s="30" t="n"/>
      <c r="Y245" s="30" t="n"/>
      <c r="Z245" s="30" t="n"/>
    </row>
    <row r="246" ht="15.75" customHeight="1" s="134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30" t="n"/>
      <c r="J246" s="30" t="n"/>
      <c r="K246" s="30" t="n"/>
      <c r="L246" s="30" t="n"/>
      <c r="M246" s="30" t="n"/>
      <c r="N246" s="30" t="n"/>
      <c r="O246" s="30" t="n"/>
      <c r="P246" s="30" t="n"/>
      <c r="Q246" s="30" t="n"/>
      <c r="R246" s="30" t="n"/>
      <c r="S246" s="30" t="n"/>
      <c r="T246" s="30" t="n"/>
      <c r="U246" s="30" t="n"/>
      <c r="V246" s="30" t="n"/>
      <c r="W246" s="30" t="n"/>
      <c r="X246" s="30" t="n"/>
      <c r="Y246" s="30" t="n"/>
      <c r="Z246" s="30" t="n"/>
    </row>
    <row r="247" ht="15.75" customHeight="1" s="134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30" t="n"/>
      <c r="J247" s="30" t="n"/>
      <c r="K247" s="30" t="n"/>
      <c r="L247" s="30" t="n"/>
      <c r="M247" s="30" t="n"/>
      <c r="N247" s="30" t="n"/>
      <c r="O247" s="30" t="n"/>
      <c r="P247" s="30" t="n"/>
      <c r="Q247" s="30" t="n"/>
      <c r="R247" s="30" t="n"/>
      <c r="S247" s="30" t="n"/>
      <c r="T247" s="30" t="n"/>
      <c r="U247" s="30" t="n"/>
      <c r="V247" s="30" t="n"/>
      <c r="W247" s="30" t="n"/>
      <c r="X247" s="30" t="n"/>
      <c r="Y247" s="30" t="n"/>
      <c r="Z247" s="30" t="n"/>
    </row>
    <row r="248" ht="15.75" customHeight="1" s="134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30" t="n"/>
      <c r="J248" s="30" t="n"/>
      <c r="K248" s="30" t="n"/>
      <c r="L248" s="30" t="n"/>
      <c r="M248" s="30" t="n"/>
      <c r="N248" s="30" t="n"/>
      <c r="O248" s="30" t="n"/>
      <c r="P248" s="30" t="n"/>
      <c r="Q248" s="30" t="n"/>
      <c r="R248" s="30" t="n"/>
      <c r="S248" s="30" t="n"/>
      <c r="T248" s="30" t="n"/>
      <c r="U248" s="30" t="n"/>
      <c r="V248" s="30" t="n"/>
      <c r="W248" s="30" t="n"/>
      <c r="X248" s="30" t="n"/>
      <c r="Y248" s="30" t="n"/>
      <c r="Z248" s="30" t="n"/>
    </row>
    <row r="249" ht="15.75" customHeight="1" s="134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30" t="n"/>
      <c r="J249" s="30" t="n"/>
      <c r="K249" s="30" t="n"/>
      <c r="L249" s="30" t="n"/>
      <c r="M249" s="30" t="n"/>
      <c r="N249" s="30" t="n"/>
      <c r="O249" s="30" t="n"/>
      <c r="P249" s="30" t="n"/>
      <c r="Q249" s="30" t="n"/>
      <c r="R249" s="30" t="n"/>
      <c r="S249" s="30" t="n"/>
      <c r="T249" s="30" t="n"/>
      <c r="U249" s="30" t="n"/>
      <c r="V249" s="30" t="n"/>
      <c r="W249" s="30" t="n"/>
      <c r="X249" s="30" t="n"/>
      <c r="Y249" s="30" t="n"/>
      <c r="Z249" s="30" t="n"/>
    </row>
    <row r="250" ht="15.75" customHeight="1" s="134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30" t="n"/>
      <c r="J250" s="30" t="n"/>
      <c r="K250" s="30" t="n"/>
      <c r="L250" s="30" t="n"/>
      <c r="M250" s="30" t="n"/>
      <c r="N250" s="30" t="n"/>
      <c r="O250" s="30" t="n"/>
      <c r="P250" s="30" t="n"/>
      <c r="Q250" s="30" t="n"/>
      <c r="R250" s="30" t="n"/>
      <c r="S250" s="30" t="n"/>
      <c r="T250" s="30" t="n"/>
      <c r="U250" s="30" t="n"/>
      <c r="V250" s="30" t="n"/>
      <c r="W250" s="30" t="n"/>
      <c r="X250" s="30" t="n"/>
      <c r="Y250" s="30" t="n"/>
      <c r="Z250" s="30" t="n"/>
    </row>
    <row r="251" ht="15.75" customHeight="1" s="134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30" t="n"/>
      <c r="J251" s="30" t="n"/>
      <c r="K251" s="30" t="n"/>
      <c r="L251" s="30" t="n"/>
      <c r="M251" s="30" t="n"/>
      <c r="N251" s="30" t="n"/>
      <c r="O251" s="30" t="n"/>
      <c r="P251" s="30" t="n"/>
      <c r="Q251" s="30" t="n"/>
      <c r="R251" s="30" t="n"/>
      <c r="S251" s="30" t="n"/>
      <c r="T251" s="30" t="n"/>
      <c r="U251" s="30" t="n"/>
      <c r="V251" s="30" t="n"/>
      <c r="W251" s="30" t="n"/>
      <c r="X251" s="30" t="n"/>
      <c r="Y251" s="30" t="n"/>
      <c r="Z251" s="30" t="n"/>
    </row>
    <row r="252" ht="15.75" customHeight="1" s="134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30" t="n"/>
      <c r="J252" s="30" t="n"/>
      <c r="K252" s="30" t="n"/>
      <c r="L252" s="30" t="n"/>
      <c r="M252" s="30" t="n"/>
      <c r="N252" s="30" t="n"/>
      <c r="O252" s="30" t="n"/>
      <c r="P252" s="30" t="n"/>
      <c r="Q252" s="30" t="n"/>
      <c r="R252" s="30" t="n"/>
      <c r="S252" s="30" t="n"/>
      <c r="T252" s="30" t="n"/>
      <c r="U252" s="30" t="n"/>
      <c r="V252" s="30" t="n"/>
      <c r="W252" s="30" t="n"/>
      <c r="X252" s="30" t="n"/>
      <c r="Y252" s="30" t="n"/>
      <c r="Z252" s="30" t="n"/>
    </row>
    <row r="253" ht="15.75" customHeight="1" s="134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3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34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34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34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34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34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34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34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34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34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3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34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34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34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34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34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34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34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34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34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3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34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34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34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34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34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34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34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34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34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3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34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34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34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34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34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34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34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34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34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3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34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34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34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34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34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34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34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34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34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3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34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34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34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34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34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34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34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34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34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3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34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34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34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34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34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34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34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34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34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3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34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34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34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34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34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34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34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34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34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34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34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34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34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34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34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34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34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34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3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34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34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34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34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34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34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34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34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34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3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34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34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34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34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34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34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34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34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34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3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34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34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34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34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34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34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34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34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34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3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34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34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34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34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34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34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34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34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34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3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34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34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34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34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34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34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34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34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34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3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34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34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34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34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34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34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34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34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34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3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34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34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34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34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34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34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34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34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34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3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34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34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34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34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34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34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34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34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34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3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34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34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34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34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34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34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34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34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34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34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34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34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34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34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34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34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34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34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3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34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34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34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34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34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34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34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34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34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3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34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34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34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34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34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34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34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34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34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3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34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34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34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34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34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34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34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34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34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3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34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34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34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34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34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34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34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34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34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3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34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34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34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34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34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34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34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34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34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3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34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34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34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34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34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34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34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34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34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3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34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34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34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34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34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34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34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34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34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3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34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34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34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34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34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34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34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34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34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3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34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34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34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34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34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34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34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34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34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34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34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34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34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34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34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34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34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34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3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34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34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34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34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34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34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34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34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34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3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34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34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34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34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34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34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34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34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34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3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34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34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34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34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34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34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34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34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34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3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34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34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34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34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34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34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34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34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34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3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34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34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34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34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34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34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34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34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34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3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34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34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34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34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34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34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34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34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34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3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34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34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34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34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34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34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34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34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34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3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34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34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34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34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34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34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34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34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34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3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34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34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34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34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34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34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34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34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34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34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34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34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34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34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34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34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34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34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3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34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34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34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34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34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34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34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34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34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3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34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34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34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34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34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34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34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34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34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3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34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34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34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34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34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34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34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34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34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3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34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34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34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34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34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34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34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34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34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3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34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34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34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34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34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34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34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34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34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3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34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34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34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34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34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34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34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34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34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3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34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34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34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34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34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34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34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34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34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3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34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34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34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34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34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34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34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34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34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3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34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34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34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34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34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34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34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34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34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34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34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34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34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34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34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34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34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34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3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34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34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34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34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34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34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34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34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34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3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34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34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34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34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34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34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34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34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34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3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34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34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34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34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34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34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34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34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34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3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34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34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34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34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34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34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34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34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34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3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34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34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34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34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34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34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34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34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34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3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34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34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34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34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34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34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34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34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34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3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34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34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34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34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34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34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34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34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34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3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34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34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34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34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34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34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34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34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34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3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34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34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34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34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34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34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34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34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34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34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34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34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34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34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34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34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34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34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3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34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34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34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34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34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34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34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34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34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3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34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34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34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34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34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34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34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34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34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3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34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34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34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34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34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34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34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34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34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3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34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34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34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34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34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34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34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34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34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3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34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34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34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34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34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34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34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34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34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3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34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34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34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34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34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34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34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34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34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3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34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34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34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34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34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34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34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34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34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3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34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34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34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34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34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34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34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34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34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3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34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34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34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34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34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34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34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34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34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34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34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34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34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34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34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34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34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34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3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34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34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34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34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34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34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34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34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34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3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34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34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34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34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34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34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34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34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34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3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34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34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34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34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34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34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34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34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34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3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34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34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34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34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34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34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34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34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34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3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34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34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34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34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34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34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34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34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34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3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34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34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34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34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34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34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8">
    <mergeCell ref="A52:F52"/>
    <mergeCell ref="A36:F36"/>
    <mergeCell ref="A1:F1"/>
    <mergeCell ref="A22:G22"/>
    <mergeCell ref="A45:F45"/>
    <mergeCell ref="A24:G24"/>
    <mergeCell ref="A16:G16"/>
    <mergeCell ref="A33:G33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 outlineLevelRow="1"/>
  <cols>
    <col width="55" customWidth="1" style="134" min="1" max="1"/>
    <col width="16" customWidth="1" style="134" min="2" max="2"/>
    <col width="10" customWidth="1" style="134" min="3" max="3"/>
    <col width="4" customWidth="1" style="134" min="4" max="4"/>
    <col width="55" customWidth="1" style="134" min="5" max="5"/>
    <col width="16" customWidth="1" style="134" min="6" max="6"/>
    <col width="10" customWidth="1" style="134" min="7" max="7"/>
    <col width="8.710000000000001" customWidth="1" style="134" min="8" max="8"/>
    <col width="55" customWidth="1" style="134" min="9" max="9"/>
    <col width="16" customWidth="1" style="134" min="10" max="10"/>
    <col width="10" customWidth="1" style="134" min="11" max="11"/>
    <col width="8.710000000000001" customWidth="1" style="134" min="12" max="12"/>
    <col width="55" customWidth="1" style="134" min="13" max="13"/>
    <col width="16" customWidth="1" style="134" min="14" max="14"/>
    <col width="10" customWidth="1" style="134" min="15" max="15"/>
    <col width="8.710000000000001" customWidth="1" style="134" min="16" max="16"/>
    <col width="55" customWidth="1" style="134" min="17" max="17"/>
    <col width="16" customWidth="1" style="134" min="18" max="18"/>
    <col width="10" customWidth="1" style="134" min="19" max="19"/>
    <col width="8.710000000000001" customWidth="1" style="134" min="20" max="26"/>
  </cols>
  <sheetData>
    <row r="1">
      <c r="A1" s="69" t="inlineStr">
        <is>
          <t>ТЕКУЩАЯ СИТУАЦИЯ</t>
        </is>
      </c>
      <c r="B1" s="138" t="inlineStr">
        <is>
          <t>Точка А (среднее июнь-июль)</t>
        </is>
      </c>
      <c r="D1" s="5" t="n"/>
      <c r="E1" s="69" t="inlineStr">
        <is>
          <t>СЕНТЯБРЬ</t>
        </is>
      </c>
      <c r="F1" s="139" t="inlineStr">
        <is>
          <t>ТОЧКА Б (цель — декабрь 2026, план роста 10%/мес)</t>
        </is>
      </c>
      <c r="H1" s="5" t="n"/>
      <c r="I1" s="69" t="inlineStr">
        <is>
          <t>ОКТЯБРЬ</t>
        </is>
      </c>
      <c r="J1" s="139" t="inlineStr">
        <is>
          <t>ТОЧКА Б (цель — декабрь 2026, план роста 10%/мес)</t>
        </is>
      </c>
      <c r="L1" s="5" t="n"/>
      <c r="M1" s="69" t="inlineStr">
        <is>
          <t>НОЯБРЬ</t>
        </is>
      </c>
      <c r="N1" s="139" t="inlineStr">
        <is>
          <t>ТОЧКА Б (цель — декабрь 2026, план роста 10%/мес)</t>
        </is>
      </c>
      <c r="P1" s="5" t="n"/>
      <c r="Q1" s="69" t="inlineStr">
        <is>
          <t>ДЕКАБРЬ</t>
        </is>
      </c>
      <c r="R1" s="139" t="inlineStr">
        <is>
          <t>ТОЧКА Б (цель — декабрь 2026, план роста 10%/мес)</t>
        </is>
      </c>
      <c r="T1" s="5" t="n"/>
      <c r="U1" s="5" t="n"/>
      <c r="V1" s="5" t="n"/>
      <c r="W1" s="5" t="n"/>
      <c r="X1" s="5" t="n"/>
      <c r="Y1" s="5" t="n"/>
      <c r="Z1" s="5" t="n"/>
    </row>
    <row r="2">
      <c r="A2" s="74" t="inlineStr">
        <is>
          <t>ВЫРУЧКА</t>
        </is>
      </c>
      <c r="B2" s="75" t="n">
        <v>2403436</v>
      </c>
      <c r="C2" s="5" t="n"/>
      <c r="D2" s="5" t="n"/>
      <c r="E2" s="74" t="inlineStr">
        <is>
          <t>ВЫРУЧКА</t>
        </is>
      </c>
      <c r="F2" s="76" t="n">
        <v>2300000</v>
      </c>
      <c r="G2" s="5" t="n"/>
      <c r="H2" s="5" t="n"/>
      <c r="I2" s="74" t="inlineStr">
        <is>
          <t>ВЫРУЧКА</t>
        </is>
      </c>
      <c r="J2" s="76" t="n">
        <v>2300000</v>
      </c>
      <c r="K2" s="5" t="n"/>
      <c r="L2" s="5" t="n"/>
      <c r="M2" s="74" t="inlineStr">
        <is>
          <t>ВЫРУЧКА</t>
        </is>
      </c>
      <c r="N2" s="76" t="n">
        <v>2300000</v>
      </c>
      <c r="O2" s="5" t="n"/>
      <c r="P2" s="5" t="n"/>
      <c r="Q2" s="74" t="inlineStr">
        <is>
          <t>ВЫРУЧКА</t>
        </is>
      </c>
      <c r="R2" s="76" t="n">
        <v>2300000</v>
      </c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77" t="inlineStr">
        <is>
          <t>- Эльвира</t>
        </is>
      </c>
      <c r="B3" s="78">
        <f>B2-B4</f>
        <v/>
      </c>
      <c r="C3" s="5" t="n"/>
      <c r="D3" s="5" t="n"/>
      <c r="E3" s="77" t="inlineStr">
        <is>
          <t>- Эльвира</t>
        </is>
      </c>
      <c r="F3" s="81">
        <f>F2-F4</f>
        <v/>
      </c>
      <c r="G3" s="5" t="n"/>
      <c r="H3" s="5" t="n"/>
      <c r="I3" s="77" t="inlineStr">
        <is>
          <t>- Эльвира</t>
        </is>
      </c>
      <c r="J3" s="81">
        <f>J2-J4</f>
        <v/>
      </c>
      <c r="K3" s="5" t="n"/>
      <c r="L3" s="5" t="n"/>
      <c r="M3" s="77" t="inlineStr">
        <is>
          <t>- Эльвира</t>
        </is>
      </c>
      <c r="N3" s="81">
        <f>N2-N4</f>
        <v/>
      </c>
      <c r="O3" s="5" t="n"/>
      <c r="P3" s="5" t="n"/>
      <c r="Q3" s="77" t="inlineStr">
        <is>
          <t>- Эльвира</t>
        </is>
      </c>
      <c r="R3" s="81">
        <f>R2-R4</f>
        <v/>
      </c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77" t="inlineStr">
        <is>
          <t>- Остальные</t>
        </is>
      </c>
      <c r="B4" s="80" t="n">
        <v>960140</v>
      </c>
      <c r="C4" s="5" t="n"/>
      <c r="D4" s="5" t="n"/>
      <c r="E4" s="77" t="inlineStr">
        <is>
          <t>- Остальные</t>
        </is>
      </c>
      <c r="F4" s="81" t="n">
        <v>1000000</v>
      </c>
      <c r="G4" s="5" t="n"/>
      <c r="H4" s="5" t="n"/>
      <c r="I4" s="77" t="inlineStr">
        <is>
          <t>- Остальные</t>
        </is>
      </c>
      <c r="J4" s="81">
        <f>F4*1.1</f>
        <v/>
      </c>
      <c r="K4" s="5" t="n"/>
      <c r="L4" s="5" t="n"/>
      <c r="M4" s="77" t="inlineStr">
        <is>
          <t>- Остальные</t>
        </is>
      </c>
      <c r="N4" s="81">
        <f>J4*1.1</f>
        <v/>
      </c>
      <c r="O4" s="5" t="n"/>
      <c r="P4" s="5" t="n"/>
      <c r="Q4" s="77" t="inlineStr">
        <is>
          <t>- Остальные</t>
        </is>
      </c>
      <c r="R4" s="81">
        <f>N4*1.1</f>
        <v/>
      </c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82" t="inlineStr">
        <is>
          <t>кол-во клиентов в месяц</t>
        </is>
      </c>
      <c r="B5" s="83" t="n">
        <v>198</v>
      </c>
      <c r="C5" s="5" t="n"/>
      <c r="D5" s="5" t="n"/>
      <c r="E5" s="82" t="inlineStr">
        <is>
          <t>кол-во клиентов в месяц</t>
        </is>
      </c>
      <c r="F5" s="84" t="n">
        <v>190</v>
      </c>
      <c r="G5" s="5" t="n"/>
      <c r="H5" s="5" t="n"/>
      <c r="I5" s="82" t="inlineStr">
        <is>
          <t>кол-во клиентов в месяц</t>
        </is>
      </c>
      <c r="J5" s="84" t="n">
        <v>190</v>
      </c>
      <c r="K5" s="5" t="n"/>
      <c r="L5" s="5" t="n"/>
      <c r="M5" s="82" t="inlineStr">
        <is>
          <t>кол-во клиентов в месяц</t>
        </is>
      </c>
      <c r="N5" s="84" t="n">
        <v>190</v>
      </c>
      <c r="O5" s="5" t="n"/>
      <c r="P5" s="5" t="n"/>
      <c r="Q5" s="82" t="inlineStr">
        <is>
          <t>кол-во клиентов в месяц</t>
        </is>
      </c>
      <c r="R5" s="84" t="n">
        <v>190</v>
      </c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5" t="n"/>
      <c r="B7" s="85" t="inlineStr">
        <is>
          <t>₽</t>
        </is>
      </c>
      <c r="C7" s="85" t="inlineStr">
        <is>
          <t>%</t>
        </is>
      </c>
      <c r="D7" s="5" t="n"/>
      <c r="E7" s="5" t="n"/>
      <c r="F7" s="85" t="inlineStr">
        <is>
          <t>₽</t>
        </is>
      </c>
      <c r="G7" s="85" t="inlineStr">
        <is>
          <t>%</t>
        </is>
      </c>
      <c r="H7" s="5" t="n"/>
      <c r="I7" s="5" t="n"/>
      <c r="J7" s="85" t="inlineStr">
        <is>
          <t>₽</t>
        </is>
      </c>
      <c r="K7" s="85" t="inlineStr">
        <is>
          <t>%</t>
        </is>
      </c>
      <c r="L7" s="5" t="n"/>
      <c r="M7" s="5" t="n"/>
      <c r="N7" s="85" t="inlineStr">
        <is>
          <t>₽</t>
        </is>
      </c>
      <c r="O7" s="85" t="inlineStr">
        <is>
          <t>%</t>
        </is>
      </c>
      <c r="P7" s="5" t="n"/>
      <c r="Q7" s="5" t="n"/>
      <c r="R7" s="85" t="inlineStr">
        <is>
          <t>₽</t>
        </is>
      </c>
      <c r="S7" s="85" t="inlineStr">
        <is>
          <t>%</t>
        </is>
      </c>
      <c r="T7" s="5" t="n"/>
      <c r="U7" s="5" t="n"/>
      <c r="V7" s="5" t="n"/>
      <c r="W7" s="5" t="n"/>
      <c r="X7" s="5" t="n"/>
      <c r="Y7" s="5" t="n"/>
      <c r="Z7" s="5" t="n"/>
    </row>
    <row r="8">
      <c r="A8" s="86" t="inlineStr">
        <is>
          <t>Постоянные расходы ВСЕГО</t>
        </is>
      </c>
      <c r="B8" s="87">
        <f>SUM(B9:B12)+B13+B18+B19</f>
        <v/>
      </c>
      <c r="C8" s="88">
        <f>B8/$B$2</f>
        <v/>
      </c>
      <c r="D8" s="5" t="n"/>
      <c r="E8" s="86" t="inlineStr">
        <is>
          <t>Постоянные расходы ВСЕГО</t>
        </is>
      </c>
      <c r="F8" s="87">
        <f>SUM(F9:F12)+F13+F18+F19</f>
        <v/>
      </c>
      <c r="G8" s="88">
        <f>F8/$F$2</f>
        <v/>
      </c>
      <c r="H8" s="5" t="n"/>
      <c r="I8" s="86" t="inlineStr">
        <is>
          <t>Постоянные расходы ВСЕГО</t>
        </is>
      </c>
      <c r="J8" s="87">
        <f>SUM(J9:J12)+J13+J18+J19</f>
        <v/>
      </c>
      <c r="K8" s="88">
        <f>J8/$F$2</f>
        <v/>
      </c>
      <c r="L8" s="5" t="n"/>
      <c r="M8" s="86" t="inlineStr">
        <is>
          <t>Постоянные расходы ВСЕГО</t>
        </is>
      </c>
      <c r="N8" s="87">
        <f>SUM(N9:N12)+N13+N18+N19</f>
        <v/>
      </c>
      <c r="O8" s="88">
        <f>N8/$F$2</f>
        <v/>
      </c>
      <c r="P8" s="5" t="n"/>
      <c r="Q8" s="86" t="inlineStr">
        <is>
          <t>Постоянные расходы ВСЕГО</t>
        </is>
      </c>
      <c r="R8" s="87">
        <f>SUM(R9:R12)+R13+R18+R19</f>
        <v/>
      </c>
      <c r="S8" s="88">
        <f>R8/$F$2</f>
        <v/>
      </c>
      <c r="T8" s="5" t="n"/>
      <c r="U8" s="5" t="n"/>
      <c r="V8" s="5" t="n"/>
      <c r="W8" s="5" t="n"/>
      <c r="X8" s="5" t="n"/>
      <c r="Y8" s="5" t="n"/>
      <c r="Z8" s="5" t="n"/>
    </row>
    <row r="9" outlineLevel="1" s="134">
      <c r="A9" s="5" t="inlineStr">
        <is>
          <t>Аренда и содержание помещения</t>
        </is>
      </c>
      <c r="B9" s="21" t="n">
        <v>81980</v>
      </c>
      <c r="C9" s="22">
        <f>B9/$B$2</f>
        <v/>
      </c>
      <c r="D9" s="5" t="n"/>
      <c r="E9" s="5" t="inlineStr">
        <is>
          <t>Аренда и содержание помещения</t>
        </is>
      </c>
      <c r="F9" s="89" t="n">
        <v>81980</v>
      </c>
      <c r="G9" s="22">
        <f>F9/$F$2</f>
        <v/>
      </c>
      <c r="H9" s="5" t="n"/>
      <c r="I9" s="5" t="inlineStr">
        <is>
          <t>Аренда и содержание помещения</t>
        </is>
      </c>
      <c r="J9" s="89" t="n">
        <v>81980</v>
      </c>
      <c r="K9" s="22">
        <f>J9/$F$2</f>
        <v/>
      </c>
      <c r="L9" s="5" t="n"/>
      <c r="M9" s="5" t="inlineStr">
        <is>
          <t>Аренда и содержание помещения</t>
        </is>
      </c>
      <c r="N9" s="89" t="n">
        <v>81980</v>
      </c>
      <c r="O9" s="22">
        <f>N9/$F$2</f>
        <v/>
      </c>
      <c r="P9" s="5" t="n"/>
      <c r="Q9" s="5" t="inlineStr">
        <is>
          <t>Аренда и содержание помещения</t>
        </is>
      </c>
      <c r="R9" s="89" t="n">
        <v>81980</v>
      </c>
      <c r="S9" s="22">
        <f>R9/$F$2</f>
        <v/>
      </c>
      <c r="T9" s="5" t="n"/>
      <c r="U9" s="5" t="n"/>
      <c r="V9" s="5" t="n"/>
      <c r="W9" s="5" t="n"/>
      <c r="X9" s="5" t="n"/>
      <c r="Y9" s="5" t="n"/>
      <c r="Z9" s="5" t="n"/>
    </row>
    <row r="10" outlineLevel="1" s="134">
      <c r="A10" s="5" t="inlineStr">
        <is>
          <t>Связь и интернет (IT-сервисы)</t>
        </is>
      </c>
      <c r="B10" s="21" t="n">
        <v>41410</v>
      </c>
      <c r="C10" s="22">
        <f>B10/$B$2</f>
        <v/>
      </c>
      <c r="D10" s="5" t="n"/>
      <c r="E10" s="5" t="inlineStr">
        <is>
          <t>Связь и интернет (IT-сервисы)</t>
        </is>
      </c>
      <c r="F10" s="89" t="n">
        <v>15000</v>
      </c>
      <c r="G10" s="22">
        <f>F10/$F$2</f>
        <v/>
      </c>
      <c r="H10" s="5" t="n"/>
      <c r="I10" s="5" t="inlineStr">
        <is>
          <t>Связь и интернет (IT-сервисы)</t>
        </is>
      </c>
      <c r="J10" s="89" t="n">
        <v>15000</v>
      </c>
      <c r="K10" s="22">
        <f>J10/$F$2</f>
        <v/>
      </c>
      <c r="L10" s="5" t="n"/>
      <c r="M10" s="5" t="inlineStr">
        <is>
          <t>Связь и интернет (IT-сервисы)</t>
        </is>
      </c>
      <c r="N10" s="89" t="n">
        <v>15000</v>
      </c>
      <c r="O10" s="22">
        <f>N10/$F$2</f>
        <v/>
      </c>
      <c r="P10" s="5" t="n"/>
      <c r="Q10" s="5" t="inlineStr">
        <is>
          <t>Связь и интернет (IT-сервисы)</t>
        </is>
      </c>
      <c r="R10" s="89" t="n">
        <v>15000</v>
      </c>
      <c r="S10" s="22">
        <f>R10/$F$2</f>
        <v/>
      </c>
      <c r="T10" s="5" t="n"/>
      <c r="U10" s="5" t="n"/>
      <c r="V10" s="5" t="n"/>
      <c r="W10" s="5" t="n"/>
      <c r="X10" s="5" t="n"/>
      <c r="Y10" s="5" t="n"/>
      <c r="Z10" s="5" t="n"/>
    </row>
    <row r="11" outlineLevel="1" s="134">
      <c r="A11" s="5" t="inlineStr">
        <is>
          <t>Хоз. и санитарные нужды</t>
        </is>
      </c>
      <c r="B11" s="21" t="n">
        <v>62567</v>
      </c>
      <c r="C11" s="22">
        <f>B11/$B$2</f>
        <v/>
      </c>
      <c r="D11" s="5" t="n"/>
      <c r="E11" s="5" t="inlineStr">
        <is>
          <t>Хоз. и санитарные нужды</t>
        </is>
      </c>
      <c r="F11" s="89" t="n">
        <v>62567</v>
      </c>
      <c r="G11" s="22">
        <f>F11/$F$2</f>
        <v/>
      </c>
      <c r="H11" s="5" t="n"/>
      <c r="I11" s="5" t="inlineStr">
        <is>
          <t>Хоз. и санитарные нужды</t>
        </is>
      </c>
      <c r="J11" s="89" t="n">
        <v>62567</v>
      </c>
      <c r="K11" s="22">
        <f>J11/$F$2</f>
        <v/>
      </c>
      <c r="L11" s="5" t="n"/>
      <c r="M11" s="5" t="inlineStr">
        <is>
          <t>Хоз. и санитарные нужды</t>
        </is>
      </c>
      <c r="N11" s="89" t="n">
        <v>62567</v>
      </c>
      <c r="O11" s="22">
        <f>N11/$F$2</f>
        <v/>
      </c>
      <c r="P11" s="5" t="n"/>
      <c r="Q11" s="5" t="inlineStr">
        <is>
          <t>Хоз. и санитарные нужды</t>
        </is>
      </c>
      <c r="R11" s="89" t="n">
        <v>62567</v>
      </c>
      <c r="S11" s="22">
        <f>R11/$F$2</f>
        <v/>
      </c>
      <c r="T11" s="5" t="n"/>
      <c r="U11" s="5" t="n"/>
      <c r="V11" s="5" t="n"/>
      <c r="W11" s="5" t="n"/>
      <c r="X11" s="5" t="n"/>
      <c r="Y11" s="5" t="n"/>
      <c r="Z11" s="5" t="n"/>
    </row>
    <row r="12" outlineLevel="1" s="134">
      <c r="A12" s="5" t="inlineStr">
        <is>
          <t>Банковское обслуживание, юр., бухгалтерия</t>
        </is>
      </c>
      <c r="B12" s="21" t="n">
        <v>35164</v>
      </c>
      <c r="C12" s="22">
        <f>B12/$B$2</f>
        <v/>
      </c>
      <c r="D12" s="5" t="n"/>
      <c r="E12" s="5" t="inlineStr">
        <is>
          <t>Банковское обслуживание, юр., бухгалтерия</t>
        </is>
      </c>
      <c r="F12" s="89" t="n">
        <v>35164</v>
      </c>
      <c r="G12" s="22">
        <f>F12/$F$2</f>
        <v/>
      </c>
      <c r="H12" s="5" t="n"/>
      <c r="I12" s="5" t="inlineStr">
        <is>
          <t>Банковское обслуживание, юр., бухгалтерия</t>
        </is>
      </c>
      <c r="J12" s="89" t="n">
        <v>35164</v>
      </c>
      <c r="K12" s="22">
        <f>J12/$F$2</f>
        <v/>
      </c>
      <c r="L12" s="5" t="n"/>
      <c r="M12" s="5" t="inlineStr">
        <is>
          <t>Банковское обслуживание, юр., бухгалтерия</t>
        </is>
      </c>
      <c r="N12" s="89" t="n">
        <v>35164</v>
      </c>
      <c r="O12" s="22">
        <f>N12/$F$2</f>
        <v/>
      </c>
      <c r="P12" s="5" t="n"/>
      <c r="Q12" s="5" t="inlineStr">
        <is>
          <t>Банковское обслуживание, юр., бухгалтерия</t>
        </is>
      </c>
      <c r="R12" s="89" t="n">
        <v>35164</v>
      </c>
      <c r="S12" s="22">
        <f>R12/$F$2</f>
        <v/>
      </c>
      <c r="T12" s="5" t="n"/>
      <c r="U12" s="5" t="n"/>
      <c r="V12" s="5" t="n"/>
      <c r="W12" s="5" t="n"/>
      <c r="X12" s="5" t="n"/>
      <c r="Y12" s="5" t="n"/>
      <c r="Z12" s="5" t="n"/>
    </row>
    <row r="13" outlineLevel="1" s="134">
      <c r="A13" s="90" t="inlineStr">
        <is>
          <t>ФОТ офиса</t>
        </is>
      </c>
      <c r="B13" s="91">
        <f>SUM(B14:B17)</f>
        <v/>
      </c>
      <c r="C13" s="92">
        <f>B13/$B$2</f>
        <v/>
      </c>
      <c r="D13" s="5" t="n"/>
      <c r="E13" s="90" t="inlineStr">
        <is>
          <t>ФОТ офиса</t>
        </is>
      </c>
      <c r="F13" s="91">
        <f>SUM(F14:F17)</f>
        <v/>
      </c>
      <c r="G13" s="92">
        <f>F13/$F$2</f>
        <v/>
      </c>
      <c r="H13" s="5" t="n"/>
      <c r="I13" s="90" t="inlineStr">
        <is>
          <t>ФОТ офиса</t>
        </is>
      </c>
      <c r="J13" s="91">
        <f>SUM(J14:J17)</f>
        <v/>
      </c>
      <c r="K13" s="92">
        <f>J13/$F$2</f>
        <v/>
      </c>
      <c r="L13" s="5" t="n"/>
      <c r="M13" s="90" t="inlineStr">
        <is>
          <t>ФОТ офиса</t>
        </is>
      </c>
      <c r="N13" s="91">
        <f>SUM(N14:N17)</f>
        <v/>
      </c>
      <c r="O13" s="92">
        <f>N13/$F$2</f>
        <v/>
      </c>
      <c r="P13" s="5" t="n"/>
      <c r="Q13" s="90" t="inlineStr">
        <is>
          <t>ФОТ офиса</t>
        </is>
      </c>
      <c r="R13" s="91">
        <f>SUM(R14:R17)</f>
        <v/>
      </c>
      <c r="S13" s="92">
        <f>R13/$F$2</f>
        <v/>
      </c>
      <c r="T13" s="5" t="n"/>
      <c r="U13" s="5" t="n"/>
      <c r="V13" s="5" t="n"/>
      <c r="W13" s="5" t="n"/>
      <c r="X13" s="5" t="n"/>
      <c r="Y13" s="5" t="n"/>
      <c r="Z13" s="5" t="n"/>
    </row>
    <row r="14" outlineLevel="1" s="134">
      <c r="A14" s="5" t="inlineStr">
        <is>
          <t xml:space="preserve">  СЕО</t>
        </is>
      </c>
      <c r="B14" s="21" t="n">
        <v>52121</v>
      </c>
      <c r="C14" s="22">
        <f>B14/$B$2</f>
        <v/>
      </c>
      <c r="D14" s="5" t="n"/>
      <c r="E14" s="5" t="inlineStr">
        <is>
          <t xml:space="preserve">  СЕО</t>
        </is>
      </c>
      <c r="F14" s="89" t="n">
        <v>52121</v>
      </c>
      <c r="G14" s="22">
        <f>F14/$F$2</f>
        <v/>
      </c>
      <c r="H14" s="5" t="n"/>
      <c r="I14" s="5" t="inlineStr">
        <is>
          <t xml:space="preserve">  СЕО</t>
        </is>
      </c>
      <c r="J14" s="89" t="n">
        <v>52121</v>
      </c>
      <c r="K14" s="22">
        <f>J14/$F$2</f>
        <v/>
      </c>
      <c r="L14" s="5" t="n"/>
      <c r="M14" s="5" t="inlineStr">
        <is>
          <t xml:space="preserve">  СЕО</t>
        </is>
      </c>
      <c r="N14" s="89" t="n">
        <v>52121</v>
      </c>
      <c r="O14" s="22">
        <f>N14/$F$2</f>
        <v/>
      </c>
      <c r="P14" s="5" t="n"/>
      <c r="Q14" s="5" t="inlineStr">
        <is>
          <t xml:space="preserve">  СЕО</t>
        </is>
      </c>
      <c r="R14" s="89" t="n">
        <v>52121</v>
      </c>
      <c r="S14" s="22">
        <f>R14/$F$2</f>
        <v/>
      </c>
      <c r="T14" s="5" t="n"/>
      <c r="U14" s="5" t="n"/>
      <c r="V14" s="5" t="n"/>
      <c r="W14" s="5" t="n"/>
      <c r="X14" s="5" t="n"/>
      <c r="Y14" s="5" t="n"/>
      <c r="Z14" s="5" t="n"/>
    </row>
    <row r="15" outlineLevel="1" s="134">
      <c r="A15" s="5" t="inlineStr">
        <is>
          <t xml:space="preserve">  Управляющий</t>
        </is>
      </c>
      <c r="B15" s="21" t="n">
        <v>60000</v>
      </c>
      <c r="C15" s="22">
        <f>B15/$B$2</f>
        <v/>
      </c>
      <c r="D15" s="5" t="n"/>
      <c r="E15" s="5" t="inlineStr">
        <is>
          <t xml:space="preserve">  Управляющий</t>
        </is>
      </c>
      <c r="F15" s="89">
        <f>'КПИ управляющей'!$B$4</f>
        <v/>
      </c>
      <c r="G15" s="22">
        <f>F15/$F$2</f>
        <v/>
      </c>
      <c r="H15" s="5" t="n"/>
      <c r="I15" s="5" t="inlineStr">
        <is>
          <t xml:space="preserve">  Управляющий</t>
        </is>
      </c>
      <c r="J15" s="89">
        <f>'КПИ управляющей'!$B$4</f>
        <v/>
      </c>
      <c r="K15" s="22">
        <f>J15/$F$2</f>
        <v/>
      </c>
      <c r="L15" s="5" t="n"/>
      <c r="M15" s="5" t="inlineStr">
        <is>
          <t xml:space="preserve">  Управляющий</t>
        </is>
      </c>
      <c r="N15" s="89">
        <f>'КПИ управляющей'!$B$4</f>
        <v/>
      </c>
      <c r="O15" s="22">
        <f>N15/$F$2</f>
        <v/>
      </c>
      <c r="P15" s="5" t="n"/>
      <c r="Q15" s="5" t="inlineStr">
        <is>
          <t xml:space="preserve">  Управляющий</t>
        </is>
      </c>
      <c r="R15" s="89">
        <f>'КПИ управляющей'!$B$4</f>
        <v/>
      </c>
      <c r="S15" s="22">
        <f>R15/$F$2</f>
        <v/>
      </c>
      <c r="T15" s="5" t="n"/>
      <c r="U15" s="5" t="n"/>
      <c r="V15" s="5" t="n"/>
      <c r="W15" s="5" t="n"/>
      <c r="X15" s="5" t="n"/>
      <c r="Y15" s="5" t="n"/>
      <c r="Z15" s="5" t="n"/>
    </row>
    <row r="16" outlineLevel="1" s="134">
      <c r="A16" s="5" t="inlineStr">
        <is>
          <t xml:space="preserve">  Администраторы</t>
        </is>
      </c>
      <c r="B16" s="21" t="n">
        <v>60000</v>
      </c>
      <c r="C16" s="22">
        <f>B16/$B$2</f>
        <v/>
      </c>
      <c r="D16" s="5" t="n"/>
      <c r="E16" s="5" t="inlineStr">
        <is>
          <t xml:space="preserve">  Администраторы</t>
        </is>
      </c>
      <c r="F16" s="89">
        <f>'КПИ администраторов'!D26+'КПИ администраторов'!D27</f>
        <v/>
      </c>
      <c r="G16" s="22">
        <f>F16/$F$2</f>
        <v/>
      </c>
      <c r="H16" s="5" t="n"/>
      <c r="I16" s="5" t="inlineStr">
        <is>
          <t xml:space="preserve">  Администраторы</t>
        </is>
      </c>
      <c r="J16" s="89">
        <f>'КПИ администраторов'!D28+'КПИ администраторов'!D29</f>
        <v/>
      </c>
      <c r="K16" s="22">
        <f>J16/$F$2</f>
        <v/>
      </c>
      <c r="L16" s="5" t="n"/>
      <c r="M16" s="5" t="inlineStr">
        <is>
          <t xml:space="preserve">  Администраторы</t>
        </is>
      </c>
      <c r="N16" s="89">
        <f>'КПИ администраторов'!D30+'КПИ администраторов'!D31</f>
        <v/>
      </c>
      <c r="O16" s="22">
        <f>N16/$F$2</f>
        <v/>
      </c>
      <c r="P16" s="5" t="n"/>
      <c r="Q16" s="5" t="inlineStr">
        <is>
          <t xml:space="preserve">  Администраторы</t>
        </is>
      </c>
      <c r="R16" s="89">
        <f>'КПИ администраторов'!D32+'КПИ администраторов'!D33</f>
        <v/>
      </c>
      <c r="S16" s="22">
        <f>R16/$F$2</f>
        <v/>
      </c>
      <c r="T16" s="5" t="n"/>
      <c r="U16" s="5" t="n"/>
      <c r="V16" s="5" t="n"/>
      <c r="W16" s="5" t="n"/>
      <c r="X16" s="5" t="n"/>
      <c r="Y16" s="5" t="n"/>
      <c r="Z16" s="5" t="n"/>
    </row>
    <row r="17" outlineLevel="1" s="134">
      <c r="A17" s="5" t="inlineStr">
        <is>
          <t xml:space="preserve">  Прочее (страховые, юр.услуги, бухгалтерия, проектные)</t>
        </is>
      </c>
      <c r="B17" s="21" t="n">
        <v>28800</v>
      </c>
      <c r="C17" s="22">
        <f>B17/$B$2</f>
        <v/>
      </c>
      <c r="D17" s="5" t="n"/>
      <c r="E17" s="5" t="inlineStr">
        <is>
          <t xml:space="preserve">  Прочее (страховые, юр.услуги, бухгалтерия, проектные)</t>
        </is>
      </c>
      <c r="F17" s="89" t="n">
        <v>28800</v>
      </c>
      <c r="G17" s="22">
        <f>F17/$F$2</f>
        <v/>
      </c>
      <c r="H17" s="5" t="n"/>
      <c r="I17" s="5" t="inlineStr">
        <is>
          <t xml:space="preserve">  Прочее (страховые, юр.услуги, бухгалтерия, проектные)</t>
        </is>
      </c>
      <c r="J17" s="89" t="n">
        <v>28800</v>
      </c>
      <c r="K17" s="22">
        <f>J17/$F$2</f>
        <v/>
      </c>
      <c r="L17" s="5" t="n"/>
      <c r="M17" s="5" t="inlineStr">
        <is>
          <t xml:space="preserve">  Прочее (страховые, юр.услуги, бухгалтерия, проектные)</t>
        </is>
      </c>
      <c r="N17" s="89" t="n">
        <v>28800</v>
      </c>
      <c r="O17" s="22">
        <f>N17/$F$2</f>
        <v/>
      </c>
      <c r="P17" s="5" t="n"/>
      <c r="Q17" s="5" t="inlineStr">
        <is>
          <t xml:space="preserve">  Прочее (страховые, юр.услуги, бухгалтерия, проектные)</t>
        </is>
      </c>
      <c r="R17" s="89" t="n">
        <v>28800</v>
      </c>
      <c r="S17" s="22">
        <f>R17/$F$2</f>
        <v/>
      </c>
      <c r="T17" s="5" t="n"/>
      <c r="U17" s="5" t="n"/>
      <c r="V17" s="5" t="n"/>
      <c r="W17" s="5" t="n"/>
      <c r="X17" s="5" t="n"/>
      <c r="Y17" s="5" t="n"/>
      <c r="Z17" s="5" t="n"/>
    </row>
    <row r="18" outlineLevel="1" s="134">
      <c r="A18" s="5" t="inlineStr">
        <is>
          <t>Обучение и HR</t>
        </is>
      </c>
      <c r="B18" s="21" t="n">
        <v>54169</v>
      </c>
      <c r="C18" s="22">
        <f>B18/$B$2</f>
        <v/>
      </c>
      <c r="D18" s="5" t="n"/>
      <c r="E18" s="5" t="inlineStr">
        <is>
          <t>Обучение и HR</t>
        </is>
      </c>
      <c r="F18" s="89" t="n">
        <v>10000</v>
      </c>
      <c r="G18" s="22">
        <f>F18/$F$2</f>
        <v/>
      </c>
      <c r="H18" s="5" t="n"/>
      <c r="I18" s="5" t="inlineStr">
        <is>
          <t>Обучение и HR</t>
        </is>
      </c>
      <c r="J18" s="89" t="n">
        <v>10000</v>
      </c>
      <c r="K18" s="22">
        <f>J18/$F$2</f>
        <v/>
      </c>
      <c r="L18" s="5" t="n"/>
      <c r="M18" s="5" t="inlineStr">
        <is>
          <t>Обучение и HR</t>
        </is>
      </c>
      <c r="N18" s="89" t="n">
        <v>10000</v>
      </c>
      <c r="O18" s="22">
        <f>N18/$F$2</f>
        <v/>
      </c>
      <c r="P18" s="5" t="n"/>
      <c r="Q18" s="5" t="inlineStr">
        <is>
          <t>Обучение и HR</t>
        </is>
      </c>
      <c r="R18" s="89" t="n">
        <v>10000</v>
      </c>
      <c r="S18" s="22">
        <f>R18/$F$2</f>
        <v/>
      </c>
      <c r="T18" s="5" t="n"/>
      <c r="U18" s="5" t="n"/>
      <c r="V18" s="5" t="n"/>
      <c r="W18" s="5" t="n"/>
      <c r="X18" s="5" t="n"/>
      <c r="Y18" s="5" t="n"/>
      <c r="Z18" s="5" t="n"/>
    </row>
    <row r="19" outlineLevel="1" s="134">
      <c r="A19" s="5" t="inlineStr">
        <is>
          <t>Прочие операционные расходы</t>
        </is>
      </c>
      <c r="B19" s="21" t="n">
        <v>12806</v>
      </c>
      <c r="C19" s="22">
        <f>B19/$B$2</f>
        <v/>
      </c>
      <c r="D19" s="5" t="n"/>
      <c r="E19" s="5" t="inlineStr">
        <is>
          <t>Прочие операционные расходы</t>
        </is>
      </c>
      <c r="F19" s="89" t="n">
        <v>12806</v>
      </c>
      <c r="G19" s="22">
        <f>F19/$F$2</f>
        <v/>
      </c>
      <c r="H19" s="5" t="n"/>
      <c r="I19" s="5" t="inlineStr">
        <is>
          <t>Прочие операционные расходы</t>
        </is>
      </c>
      <c r="J19" s="89" t="n">
        <v>12806</v>
      </c>
      <c r="K19" s="22">
        <f>J19/$F$2</f>
        <v/>
      </c>
      <c r="L19" s="5" t="n"/>
      <c r="M19" s="5" t="inlineStr">
        <is>
          <t>Прочие операционные расходы</t>
        </is>
      </c>
      <c r="N19" s="89" t="n">
        <v>12806</v>
      </c>
      <c r="O19" s="22">
        <f>N19/$F$2</f>
        <v/>
      </c>
      <c r="P19" s="5" t="n"/>
      <c r="Q19" s="5" t="inlineStr">
        <is>
          <t>Прочие операционные расходы</t>
        </is>
      </c>
      <c r="R19" s="89" t="n">
        <v>12806</v>
      </c>
      <c r="S19" s="22">
        <f>R19/$F$2</f>
        <v/>
      </c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34">
      <c r="A21" s="86" t="inlineStr">
        <is>
          <t>Переменные расходы ВСЕГО</t>
        </is>
      </c>
      <c r="B21" s="87">
        <f>B22+B33+B40+B44+B36</f>
        <v/>
      </c>
      <c r="C21" s="88">
        <f>B21/$B$2</f>
        <v/>
      </c>
      <c r="D21" s="5" t="n"/>
      <c r="E21" s="86" t="inlineStr">
        <is>
          <t>Переменные расходы ВСЕГО</t>
        </is>
      </c>
      <c r="F21" s="87">
        <f>F22+F33+F40+F44+F36</f>
        <v/>
      </c>
      <c r="G21" s="88">
        <f>F21/$F$2</f>
        <v/>
      </c>
      <c r="H21" s="5" t="n"/>
      <c r="I21" s="86" t="inlineStr">
        <is>
          <t>Переменные расходы ВСЕГО</t>
        </is>
      </c>
      <c r="J21" s="87">
        <f>J22+J33+J40+J44+J36</f>
        <v/>
      </c>
      <c r="K21" s="88">
        <f>J21/$F$2</f>
        <v/>
      </c>
      <c r="L21" s="5" t="n"/>
      <c r="M21" s="86" t="inlineStr">
        <is>
          <t>Переменные расходы ВСЕГО</t>
        </is>
      </c>
      <c r="N21" s="87">
        <f>N22+N33+N40+N44+N36</f>
        <v/>
      </c>
      <c r="O21" s="88">
        <f>N21/$F$2</f>
        <v/>
      </c>
      <c r="P21" s="5" t="n"/>
      <c r="Q21" s="86" t="inlineStr">
        <is>
          <t>Переменные расходы ВСЕГО</t>
        </is>
      </c>
      <c r="R21" s="87">
        <f>R22+R33+R40+R44+R36</f>
        <v/>
      </c>
      <c r="S21" s="88">
        <f>R21/$F$2</f>
        <v/>
      </c>
      <c r="T21" s="5" t="n"/>
      <c r="U21" s="5" t="n"/>
      <c r="V21" s="5" t="n"/>
      <c r="W21" s="5" t="n"/>
      <c r="X21" s="5" t="n"/>
      <c r="Y21" s="5" t="n"/>
      <c r="Z21" s="5" t="n"/>
    </row>
    <row r="22" outlineLevel="1" ht="15.75" customHeight="1" s="134">
      <c r="A22" s="90" t="inlineStr">
        <is>
          <t>Переменные расходы на маркетинг</t>
        </is>
      </c>
      <c r="B22" s="91">
        <f>SUM(B23:B31)</f>
        <v/>
      </c>
      <c r="C22" s="92">
        <f>B22/$B$2</f>
        <v/>
      </c>
      <c r="D22" s="5" t="n"/>
      <c r="E22" s="90" t="inlineStr">
        <is>
          <t>Переменные расходы на маркетинг</t>
        </is>
      </c>
      <c r="F22" s="91">
        <f>SUM(F23:F31)</f>
        <v/>
      </c>
      <c r="G22" s="92">
        <f>F22/$F$2</f>
        <v/>
      </c>
      <c r="H22" s="5" t="n"/>
      <c r="I22" s="90" t="inlineStr">
        <is>
          <t>Переменные расходы на маркетинг</t>
        </is>
      </c>
      <c r="J22" s="91">
        <f>SUM(J23:J31)</f>
        <v/>
      </c>
      <c r="K22" s="92">
        <f>J22/$F$2</f>
        <v/>
      </c>
      <c r="L22" s="5" t="n"/>
      <c r="M22" s="90" t="inlineStr">
        <is>
          <t>Переменные расходы на маркетинг</t>
        </is>
      </c>
      <c r="N22" s="91">
        <f>SUM(N23:N31)</f>
        <v/>
      </c>
      <c r="O22" s="92">
        <f>N22/$F$2</f>
        <v/>
      </c>
      <c r="P22" s="5" t="n"/>
      <c r="Q22" s="90" t="inlineStr">
        <is>
          <t>Переменные расходы на маркетинг</t>
        </is>
      </c>
      <c r="R22" s="91">
        <f>SUM(R23:R31)</f>
        <v/>
      </c>
      <c r="S22" s="92">
        <f>R22/$F$2</f>
        <v/>
      </c>
      <c r="T22" s="5" t="n"/>
      <c r="U22" s="5" t="n"/>
      <c r="V22" s="5" t="n"/>
      <c r="W22" s="5" t="n"/>
      <c r="X22" s="5" t="n"/>
      <c r="Y22" s="5" t="n"/>
      <c r="Z22" s="5" t="n"/>
    </row>
    <row r="23" outlineLevel="1" ht="15.75" customHeight="1" s="134">
      <c r="A23" s="5" t="inlineStr">
        <is>
          <t>ЗП маркетолога</t>
        </is>
      </c>
      <c r="B23" s="21" t="n">
        <v>81683</v>
      </c>
      <c r="C23" s="22">
        <f>B23/$B$2</f>
        <v/>
      </c>
      <c r="D23" s="5" t="n"/>
      <c r="E23" s="5" t="inlineStr">
        <is>
          <t>ЗП маркетолога</t>
        </is>
      </c>
      <c r="F23" s="89" t="n">
        <v>65000</v>
      </c>
      <c r="G23" s="22">
        <f>F23/$F$2</f>
        <v/>
      </c>
      <c r="H23" s="5" t="n"/>
      <c r="I23" s="5" t="inlineStr">
        <is>
          <t>ЗП маркетолога</t>
        </is>
      </c>
      <c r="J23" s="89" t="n">
        <v>65000</v>
      </c>
      <c r="K23" s="22">
        <f>J23/$F$2</f>
        <v/>
      </c>
      <c r="L23" s="5" t="n"/>
      <c r="M23" s="5" t="inlineStr">
        <is>
          <t>ЗП маркетолога</t>
        </is>
      </c>
      <c r="N23" s="89" t="n">
        <v>65000</v>
      </c>
      <c r="O23" s="22">
        <f>N23/$F$2</f>
        <v/>
      </c>
      <c r="P23" s="5" t="n"/>
      <c r="Q23" s="5" t="inlineStr">
        <is>
          <t>ЗП маркетолога</t>
        </is>
      </c>
      <c r="R23" s="89" t="n">
        <v>65000</v>
      </c>
      <c r="S23" s="22">
        <f>R23/$F$2</f>
        <v/>
      </c>
      <c r="T23" s="5" t="n"/>
      <c r="U23" s="5" t="n"/>
      <c r="V23" s="5" t="n"/>
      <c r="W23" s="5" t="n"/>
      <c r="X23" s="5" t="n"/>
      <c r="Y23" s="5" t="n"/>
      <c r="Z23" s="5" t="n"/>
    </row>
    <row r="24" outlineLevel="1" ht="15.75" customHeight="1" s="134">
      <c r="A24" s="5" t="inlineStr">
        <is>
          <t>ЗП СММ</t>
        </is>
      </c>
      <c r="B24" s="21" t="n"/>
      <c r="C24" s="22" t="n"/>
      <c r="D24" s="5" t="n"/>
      <c r="E24" s="5" t="inlineStr">
        <is>
          <t>ЗП СММ</t>
        </is>
      </c>
      <c r="F24" s="89" t="n">
        <v>35000</v>
      </c>
      <c r="G24" s="22">
        <f>F24/$F$2</f>
        <v/>
      </c>
      <c r="H24" s="5" t="n"/>
      <c r="I24" s="5" t="inlineStr">
        <is>
          <t>ЗП СММ</t>
        </is>
      </c>
      <c r="J24" s="89" t="n">
        <v>35000</v>
      </c>
      <c r="K24" s="22">
        <f>J24/$F$2</f>
        <v/>
      </c>
      <c r="L24" s="5" t="n"/>
      <c r="M24" s="5" t="inlineStr">
        <is>
          <t>ЗП СММ</t>
        </is>
      </c>
      <c r="N24" s="89" t="n">
        <v>35000</v>
      </c>
      <c r="O24" s="22">
        <f>N24/$F$2</f>
        <v/>
      </c>
      <c r="P24" s="5" t="n"/>
      <c r="Q24" s="5" t="inlineStr">
        <is>
          <t>ЗП СММ</t>
        </is>
      </c>
      <c r="R24" s="89" t="n">
        <v>35000</v>
      </c>
      <c r="S24" s="22">
        <f>R24/$F$2</f>
        <v/>
      </c>
      <c r="T24" s="5" t="n"/>
      <c r="U24" s="5" t="n"/>
      <c r="V24" s="5" t="n"/>
      <c r="W24" s="5" t="n"/>
      <c r="X24" s="5" t="n"/>
      <c r="Y24" s="5" t="n"/>
      <c r="Z24" s="5" t="n"/>
    </row>
    <row r="25" outlineLevel="1" ht="15.75" customHeight="1" s="134">
      <c r="A25" s="5" t="inlineStr">
        <is>
          <t>ЗП трафиктолог</t>
        </is>
      </c>
      <c r="B25" s="21" t="n"/>
      <c r="C25" s="22" t="n"/>
      <c r="D25" s="5" t="n"/>
      <c r="E25" s="5" t="inlineStr">
        <is>
          <t>ЗП трафиктолог</t>
        </is>
      </c>
      <c r="F25" s="89" t="n">
        <v>0</v>
      </c>
      <c r="G25" s="22">
        <f>F25/$F$2</f>
        <v/>
      </c>
      <c r="H25" s="5" t="n"/>
      <c r="I25" s="5" t="inlineStr">
        <is>
          <t>ЗП трафиктолог</t>
        </is>
      </c>
      <c r="J25" s="89" t="n">
        <v>0</v>
      </c>
      <c r="K25" s="22">
        <f>J25/$F$2</f>
        <v/>
      </c>
      <c r="L25" s="5" t="n"/>
      <c r="M25" s="5" t="inlineStr">
        <is>
          <t>ЗП трафиктолог</t>
        </is>
      </c>
      <c r="N25" s="89" t="n">
        <v>0</v>
      </c>
      <c r="O25" s="22">
        <f>N25/$F$2</f>
        <v/>
      </c>
      <c r="P25" s="5" t="n"/>
      <c r="Q25" s="5" t="inlineStr">
        <is>
          <t>ЗП трафиктолог</t>
        </is>
      </c>
      <c r="R25" s="89" t="n">
        <v>0</v>
      </c>
      <c r="S25" s="22">
        <f>R25/$F$2</f>
        <v/>
      </c>
      <c r="T25" s="5" t="n"/>
      <c r="U25" s="5" t="n"/>
      <c r="V25" s="5" t="n"/>
      <c r="W25" s="5" t="n"/>
      <c r="X25" s="5" t="n"/>
      <c r="Y25" s="5" t="n"/>
      <c r="Z25" s="5" t="n"/>
    </row>
    <row r="26" outlineLevel="1" ht="15.75" customHeight="1" s="134">
      <c r="A26" s="5" t="inlineStr">
        <is>
          <t>ЗП Директолог</t>
        </is>
      </c>
      <c r="B26" s="21" t="n"/>
      <c r="C26" s="22" t="n"/>
      <c r="D26" s="5" t="n"/>
      <c r="E26" s="5" t="inlineStr">
        <is>
          <t>ЗП Директолог</t>
        </is>
      </c>
      <c r="F26" s="89" t="n">
        <v>0</v>
      </c>
      <c r="G26" s="22">
        <f>F26/$F$2</f>
        <v/>
      </c>
      <c r="H26" s="5" t="n"/>
      <c r="I26" s="5" t="inlineStr">
        <is>
          <t>ЗП Директолог</t>
        </is>
      </c>
      <c r="J26" s="89" t="n">
        <v>0</v>
      </c>
      <c r="K26" s="22">
        <f>J26/$F$2</f>
        <v/>
      </c>
      <c r="L26" s="5" t="n"/>
      <c r="M26" s="5" t="inlineStr">
        <is>
          <t>ЗП Директолог</t>
        </is>
      </c>
      <c r="N26" s="89" t="n">
        <v>0</v>
      </c>
      <c r="O26" s="22">
        <f>N26/$F$2</f>
        <v/>
      </c>
      <c r="P26" s="5" t="n"/>
      <c r="Q26" s="5" t="inlineStr">
        <is>
          <t>ЗП Директолог</t>
        </is>
      </c>
      <c r="R26" s="89" t="n">
        <v>0</v>
      </c>
      <c r="S26" s="22">
        <f>R26/$F$2</f>
        <v/>
      </c>
      <c r="T26" s="5" t="n"/>
      <c r="U26" s="5" t="n"/>
      <c r="V26" s="5" t="n"/>
      <c r="W26" s="5" t="n"/>
      <c r="X26" s="5" t="n"/>
      <c r="Y26" s="5" t="n"/>
      <c r="Z26" s="5" t="n"/>
    </row>
    <row r="27" outlineLevel="1" ht="15.75" customHeight="1" s="134">
      <c r="A27" s="5" t="inlineStr">
        <is>
          <t>Площадки-агрегаторы (Яндекс, 2GIS, Zoon)</t>
        </is>
      </c>
      <c r="B27" s="21" t="n">
        <v>26034</v>
      </c>
      <c r="C27" s="22">
        <f>B27/$B$2</f>
        <v/>
      </c>
      <c r="D27" s="5" t="n"/>
      <c r="E27" s="5" t="inlineStr">
        <is>
          <t>Площадки-агрегаторы (Яндекс, 2GIS, Zoon)</t>
        </is>
      </c>
      <c r="F27" s="89" t="n">
        <v>0</v>
      </c>
      <c r="G27" s="22">
        <f>F27/$F$2</f>
        <v/>
      </c>
      <c r="H27" s="5" t="n"/>
      <c r="I27" s="5" t="inlineStr">
        <is>
          <t>Площадки-агрегаторы (Яндекс, 2GIS, Zoon)</t>
        </is>
      </c>
      <c r="J27" s="89" t="n">
        <v>0</v>
      </c>
      <c r="K27" s="22">
        <f>J27/$F$2</f>
        <v/>
      </c>
      <c r="L27" s="5" t="n"/>
      <c r="M27" s="5" t="inlineStr">
        <is>
          <t>Площадки-агрегаторы (Яндекс, 2GIS, Zoon)</t>
        </is>
      </c>
      <c r="N27" s="89" t="n">
        <v>0</v>
      </c>
      <c r="O27" s="22">
        <f>N27/$F$2</f>
        <v/>
      </c>
      <c r="P27" s="5" t="n"/>
      <c r="Q27" s="5" t="inlineStr">
        <is>
          <t>Площадки-агрегаторы (Яндекс, 2GIS, Zoon)</t>
        </is>
      </c>
      <c r="R27" s="89" t="n">
        <v>0</v>
      </c>
      <c r="S27" s="22">
        <f>R27/$F$2</f>
        <v/>
      </c>
      <c r="T27" s="5" t="n"/>
      <c r="U27" s="5" t="n"/>
      <c r="V27" s="5" t="n"/>
      <c r="W27" s="5" t="n"/>
      <c r="X27" s="5" t="n"/>
      <c r="Y27" s="5" t="n"/>
      <c r="Z27" s="5" t="n"/>
    </row>
    <row r="28" outlineLevel="1" ht="15.75" customHeight="1" s="134">
      <c r="A28" s="5" t="inlineStr">
        <is>
          <t>Яндекс.Директ бюджет</t>
        </is>
      </c>
      <c r="B28" s="21" t="n"/>
      <c r="C28" s="22" t="n"/>
      <c r="D28" s="5" t="n"/>
      <c r="E28" s="5" t="inlineStr">
        <is>
          <t>Яндекс.Директ бюджет</t>
        </is>
      </c>
      <c r="F28" s="89" t="n">
        <v>0</v>
      </c>
      <c r="G28" s="22">
        <f>F28/$F$2</f>
        <v/>
      </c>
      <c r="H28" s="5" t="n"/>
      <c r="I28" s="5" t="inlineStr">
        <is>
          <t>Яндекс.Директ бюджет</t>
        </is>
      </c>
      <c r="J28" s="89" t="n">
        <v>0</v>
      </c>
      <c r="K28" s="22">
        <f>J28/$F$2</f>
        <v/>
      </c>
      <c r="L28" s="5" t="n"/>
      <c r="M28" s="5" t="inlineStr">
        <is>
          <t>Яндекс.Директ бюджет</t>
        </is>
      </c>
      <c r="N28" s="89" t="n">
        <v>0</v>
      </c>
      <c r="O28" s="22">
        <f>N28/$F$2</f>
        <v/>
      </c>
      <c r="P28" s="5" t="n"/>
      <c r="Q28" s="5" t="inlineStr">
        <is>
          <t>Яндекс.Директ бюджет</t>
        </is>
      </c>
      <c r="R28" s="89" t="n">
        <v>0</v>
      </c>
      <c r="S28" s="22">
        <f>R28/$F$2</f>
        <v/>
      </c>
      <c r="T28" s="5" t="n"/>
      <c r="U28" s="5" t="n"/>
      <c r="V28" s="5" t="n"/>
      <c r="W28" s="5" t="n"/>
      <c r="X28" s="5" t="n"/>
      <c r="Y28" s="5" t="n"/>
      <c r="Z28" s="5" t="n"/>
    </row>
    <row r="29" outlineLevel="1" ht="15.75" customHeight="1" s="134">
      <c r="A29" s="5" t="inlineStr">
        <is>
          <t>Таргет бюджет</t>
        </is>
      </c>
      <c r="B29" s="21" t="n"/>
      <c r="C29" s="22" t="n"/>
      <c r="D29" s="5" t="n"/>
      <c r="E29" s="5" t="inlineStr">
        <is>
          <t>Таргет бюджет</t>
        </is>
      </c>
      <c r="F29" s="89" t="n">
        <v>0</v>
      </c>
      <c r="G29" s="22">
        <f>F29/$F$2</f>
        <v/>
      </c>
      <c r="H29" s="5" t="n"/>
      <c r="I29" s="5" t="inlineStr">
        <is>
          <t>Таргет бюджет</t>
        </is>
      </c>
      <c r="J29" s="89" t="n">
        <v>0</v>
      </c>
      <c r="K29" s="22">
        <f>J29/$F$2</f>
        <v/>
      </c>
      <c r="L29" s="5" t="n"/>
      <c r="M29" s="5" t="inlineStr">
        <is>
          <t>Таргет бюджет</t>
        </is>
      </c>
      <c r="N29" s="89" t="n">
        <v>0</v>
      </c>
      <c r="O29" s="22">
        <f>N29/$F$2</f>
        <v/>
      </c>
      <c r="P29" s="5" t="n"/>
      <c r="Q29" s="5" t="inlineStr">
        <is>
          <t>Таргет бюджет</t>
        </is>
      </c>
      <c r="R29" s="89" t="n">
        <v>0</v>
      </c>
      <c r="S29" s="22">
        <f>R29/$F$2</f>
        <v/>
      </c>
      <c r="T29" s="5" t="n"/>
      <c r="U29" s="5" t="n"/>
      <c r="V29" s="5" t="n"/>
      <c r="W29" s="5" t="n"/>
      <c r="X29" s="5" t="n"/>
      <c r="Y29" s="5" t="n"/>
      <c r="Z29" s="5" t="n"/>
    </row>
    <row r="30" outlineLevel="1" ht="15.75" customHeight="1" s="134">
      <c r="A30" s="5" t="inlineStr">
        <is>
          <t>Блогеры</t>
        </is>
      </c>
      <c r="B30" s="21" t="n"/>
      <c r="C30" s="22" t="n"/>
      <c r="D30" s="5" t="n"/>
      <c r="E30" s="5" t="inlineStr">
        <is>
          <t>Блогеры</t>
        </is>
      </c>
      <c r="F30" s="89" t="n">
        <v>0</v>
      </c>
      <c r="G30" s="22">
        <f>F30/$F$2</f>
        <v/>
      </c>
      <c r="H30" s="5" t="n"/>
      <c r="I30" s="5" t="inlineStr">
        <is>
          <t>Блогеры</t>
        </is>
      </c>
      <c r="J30" s="89" t="n">
        <v>0</v>
      </c>
      <c r="K30" s="22">
        <f>J30/$F$2</f>
        <v/>
      </c>
      <c r="L30" s="5" t="n"/>
      <c r="M30" s="5" t="inlineStr">
        <is>
          <t>Блогеры</t>
        </is>
      </c>
      <c r="N30" s="89" t="n">
        <v>0</v>
      </c>
      <c r="O30" s="22">
        <f>N30/$F$2</f>
        <v/>
      </c>
      <c r="P30" s="5" t="n"/>
      <c r="Q30" s="5" t="inlineStr">
        <is>
          <t>Блогеры</t>
        </is>
      </c>
      <c r="R30" s="89" t="n">
        <v>0</v>
      </c>
      <c r="S30" s="22">
        <f>R30/$F$2</f>
        <v/>
      </c>
      <c r="T30" s="5" t="n"/>
      <c r="U30" s="5" t="n"/>
      <c r="V30" s="5" t="n"/>
      <c r="W30" s="5" t="n"/>
      <c r="X30" s="5" t="n"/>
      <c r="Y30" s="5" t="n"/>
      <c r="Z30" s="5" t="n"/>
    </row>
    <row r="31" outlineLevel="1" ht="15.75" customHeight="1" s="134">
      <c r="A31" s="5" t="inlineStr">
        <is>
          <t>Дизайн, полиграфия, контент</t>
        </is>
      </c>
      <c r="B31" s="21" t="n">
        <v>19946</v>
      </c>
      <c r="C31" s="22">
        <f>B31/$B$2</f>
        <v/>
      </c>
      <c r="D31" s="5" t="n"/>
      <c r="E31" s="5" t="inlineStr">
        <is>
          <t>Дизайн, полиграфия, контент</t>
        </is>
      </c>
      <c r="F31" s="89" t="n">
        <v>10000</v>
      </c>
      <c r="G31" s="22">
        <f>F31/$F$2</f>
        <v/>
      </c>
      <c r="H31" s="5" t="n"/>
      <c r="I31" s="5" t="inlineStr">
        <is>
          <t>Дизайн, полиграфия, контент</t>
        </is>
      </c>
      <c r="J31" s="89" t="n">
        <v>10000</v>
      </c>
      <c r="K31" s="22">
        <f>J31/$F$2</f>
        <v/>
      </c>
      <c r="L31" s="5" t="n"/>
      <c r="M31" s="5" t="inlineStr">
        <is>
          <t>Дизайн, полиграфия, контент</t>
        </is>
      </c>
      <c r="N31" s="89" t="n">
        <v>10000</v>
      </c>
      <c r="O31" s="22">
        <f>N31/$F$2</f>
        <v/>
      </c>
      <c r="P31" s="5" t="n"/>
      <c r="Q31" s="5" t="inlineStr">
        <is>
          <t>Дизайн, полиграфия, контент</t>
        </is>
      </c>
      <c r="R31" s="89" t="n">
        <v>10000</v>
      </c>
      <c r="S31" s="22">
        <f>R31/$F$2</f>
        <v/>
      </c>
      <c r="T31" s="5" t="n"/>
      <c r="U31" s="5" t="n"/>
      <c r="V31" s="5" t="n"/>
      <c r="W31" s="5" t="n"/>
      <c r="X31" s="5" t="n"/>
      <c r="Y31" s="5" t="n"/>
      <c r="Z31" s="5" t="n"/>
    </row>
    <row r="32" outlineLevel="1" ht="15.75" customHeight="1" s="134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outlineLevel="1" ht="15.75" customHeight="1" s="134">
      <c r="A33" s="90" t="inlineStr">
        <is>
          <t>Переменные расходы на мастеров (комиссия от услуг и продажа абонементов, товаров)</t>
        </is>
      </c>
      <c r="B33" s="91">
        <f>SUM(B34)</f>
        <v/>
      </c>
      <c r="C33" s="92">
        <f>B33/$B$2</f>
        <v/>
      </c>
      <c r="D33" s="5" t="n"/>
      <c r="E33" s="90" t="inlineStr">
        <is>
          <t>Переменные расходы на мастеров (комиссия от услуг и продажа абонементов, товаров)</t>
        </is>
      </c>
      <c r="F33" s="91">
        <f>SUM(F34)</f>
        <v/>
      </c>
      <c r="G33" s="92">
        <f>F33/$F$2</f>
        <v/>
      </c>
      <c r="H33" s="5" t="n"/>
      <c r="I33" s="90" t="inlineStr">
        <is>
          <t>Переменные расходы на мастеров (комиссия от услуг и продажа абонементов, товаров)</t>
        </is>
      </c>
      <c r="J33" s="91">
        <f>SUM(J34)</f>
        <v/>
      </c>
      <c r="K33" s="92">
        <f>J33/$F$2</f>
        <v/>
      </c>
      <c r="L33" s="5" t="n"/>
      <c r="M33" s="90" t="inlineStr">
        <is>
          <t>Переменные расходы на мастеров (комиссия от услуг и продажа абонементов, товаров)</t>
        </is>
      </c>
      <c r="N33" s="91">
        <f>SUM(N34)</f>
        <v/>
      </c>
      <c r="O33" s="92">
        <f>N33/$F$2</f>
        <v/>
      </c>
      <c r="P33" s="5" t="n"/>
      <c r="Q33" s="90" t="inlineStr">
        <is>
          <t>Переменные расходы на мастеров (комиссия от услуг)</t>
        </is>
      </c>
      <c r="R33" s="91">
        <f>SUM(R34)</f>
        <v/>
      </c>
      <c r="S33" s="92">
        <f>R33/$F$2</f>
        <v/>
      </c>
      <c r="T33" s="5" t="n"/>
      <c r="U33" s="5" t="n"/>
      <c r="V33" s="5" t="n"/>
      <c r="W33" s="5" t="n"/>
      <c r="X33" s="5" t="n"/>
      <c r="Y33" s="5" t="n"/>
      <c r="Z33" s="5" t="n"/>
    </row>
    <row r="34" outlineLevel="1" ht="15.75" customHeight="1" s="134">
      <c r="A34" s="5" t="inlineStr">
        <is>
          <t xml:space="preserve">ЗП мастеров </t>
        </is>
      </c>
      <c r="B34" s="21" t="n">
        <v>618658</v>
      </c>
      <c r="C34" s="22">
        <f>B34/$B$2</f>
        <v/>
      </c>
      <c r="D34" s="5" t="n"/>
      <c r="E34" s="5" t="inlineStr">
        <is>
          <t>ЗП мастеров</t>
        </is>
      </c>
      <c r="F34" s="89" t="n">
        <v>592000</v>
      </c>
      <c r="G34" s="22">
        <f>F34/$F$2</f>
        <v/>
      </c>
      <c r="H34" s="5" t="n"/>
      <c r="I34" s="5" t="inlineStr">
        <is>
          <t>ЗП мастеров</t>
        </is>
      </c>
      <c r="J34" s="89" t="n">
        <v>592000</v>
      </c>
      <c r="K34" s="22">
        <f>J34/$F$2</f>
        <v/>
      </c>
      <c r="L34" s="5" t="n"/>
      <c r="M34" s="5" t="inlineStr">
        <is>
          <t>ЗП мастеров</t>
        </is>
      </c>
      <c r="N34" s="89" t="n">
        <v>592000</v>
      </c>
      <c r="O34" s="22">
        <f>N34/$F$2</f>
        <v/>
      </c>
      <c r="P34" s="5" t="n"/>
      <c r="Q34" s="5" t="inlineStr">
        <is>
          <t>ЗП мастеров</t>
        </is>
      </c>
      <c r="R34" s="89" t="n">
        <v>592000</v>
      </c>
      <c r="S34" s="22">
        <f>R34/$F$2</f>
        <v/>
      </c>
      <c r="T34" s="5" t="n"/>
      <c r="U34" s="5" t="n"/>
      <c r="V34" s="5" t="n"/>
      <c r="W34" s="5" t="n"/>
      <c r="X34" s="5" t="n"/>
      <c r="Y34" s="5" t="n"/>
      <c r="Z34" s="5" t="n"/>
    </row>
    <row r="35" outlineLevel="1" ht="15.75" customHeight="1" s="134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outlineLevel="1" ht="15.75" customHeight="1" s="134">
      <c r="A36" s="90" t="inlineStr">
        <is>
          <t>Переменные расходы на кпи (зависит от плана)</t>
        </is>
      </c>
      <c r="B36" s="91">
        <f>SUM(B37:B38)</f>
        <v/>
      </c>
      <c r="C36" s="92">
        <f>B36/$B$2</f>
        <v/>
      </c>
      <c r="D36" s="5" t="n"/>
      <c r="E36" s="90" t="inlineStr">
        <is>
          <t>Переменные расходы на мастеров (комиссия от услуг)</t>
        </is>
      </c>
      <c r="F36" s="91">
        <f>SUM(F37:F38)</f>
        <v/>
      </c>
      <c r="G36" s="92">
        <f>F36/$F$2</f>
        <v/>
      </c>
      <c r="H36" s="5" t="n"/>
      <c r="I36" s="90" t="inlineStr">
        <is>
          <t>Переменные расходы на мастеров (комиссия от услуг)</t>
        </is>
      </c>
      <c r="J36" s="91">
        <f>SUM(J37:J38)</f>
        <v/>
      </c>
      <c r="K36" s="92">
        <f>J36/$F$2</f>
        <v/>
      </c>
      <c r="L36" s="5" t="n"/>
      <c r="M36" s="90" t="inlineStr">
        <is>
          <t>Переменные расходы на мастеров (комиссия от услуг)</t>
        </is>
      </c>
      <c r="N36" s="91">
        <f>SUM(N37:N38)</f>
        <v/>
      </c>
      <c r="O36" s="92">
        <f>N36/$F$2</f>
        <v/>
      </c>
      <c r="P36" s="5" t="n"/>
      <c r="Q36" s="90" t="inlineStr">
        <is>
          <t>Переменные расходы на мастеров (комиссия от услуг)</t>
        </is>
      </c>
      <c r="R36" s="91">
        <f>SUM(R37:R38)</f>
        <v/>
      </c>
      <c r="S36" s="92">
        <f>R36/$F$2</f>
        <v/>
      </c>
      <c r="T36" s="5" t="n"/>
      <c r="U36" s="5" t="n"/>
      <c r="V36" s="5" t="n"/>
      <c r="W36" s="5" t="n"/>
      <c r="X36" s="5" t="n"/>
      <c r="Y36" s="5" t="n"/>
      <c r="Z36" s="5" t="n"/>
    </row>
    <row r="37" outlineLevel="1" ht="15.75" customHeight="1" s="134">
      <c r="A37" s="5" t="inlineStr">
        <is>
          <t>Управляющий кпи</t>
        </is>
      </c>
      <c r="B37" s="21" t="n"/>
      <c r="C37" s="22" t="n"/>
      <c r="D37" s="5" t="n"/>
      <c r="E37" s="5" t="inlineStr">
        <is>
          <t>Управляющий кпи</t>
        </is>
      </c>
      <c r="F37" s="21">
        <f>'КПИ управляющей'!E14</f>
        <v/>
      </c>
      <c r="G37" s="22" t="n"/>
      <c r="H37" s="5" t="n"/>
      <c r="I37" s="5" t="inlineStr">
        <is>
          <t>Управляющий кпи</t>
        </is>
      </c>
      <c r="J37" s="21">
        <f>'КПИ управляющей'!E15</f>
        <v/>
      </c>
      <c r="K37" s="22" t="n"/>
      <c r="L37" s="5" t="n"/>
      <c r="M37" s="5" t="inlineStr">
        <is>
          <t>Управляющий кпи</t>
        </is>
      </c>
      <c r="N37" s="21">
        <f>SUM('КПИ управляющей'!E16)</f>
        <v/>
      </c>
      <c r="O37" s="22">
        <f>N37/$F$2</f>
        <v/>
      </c>
      <c r="P37" s="5" t="n"/>
      <c r="Q37" s="5" t="inlineStr">
        <is>
          <t>Управляющий кпи</t>
        </is>
      </c>
      <c r="R37" s="21">
        <f>SUM('КПИ управляющей'!E17)</f>
        <v/>
      </c>
      <c r="S37" s="22">
        <f>R37/$F$2</f>
        <v/>
      </c>
      <c r="T37" s="5" t="n"/>
      <c r="U37" s="5" t="n"/>
      <c r="V37" s="5" t="n"/>
      <c r="W37" s="5" t="n"/>
      <c r="X37" s="5" t="n"/>
      <c r="Y37" s="5" t="n"/>
      <c r="Z37" s="5" t="n"/>
    </row>
    <row r="38" outlineLevel="1" ht="15.75" customHeight="1" s="134">
      <c r="A38" s="5" t="inlineStr">
        <is>
          <t>Администраторы кпи</t>
        </is>
      </c>
      <c r="B38" s="21" t="n"/>
      <c r="C38" s="22" t="n"/>
      <c r="D38" s="5" t="n"/>
      <c r="E38" s="5" t="inlineStr">
        <is>
          <t>Администраторы кпи</t>
        </is>
      </c>
      <c r="F38" s="21">
        <f>SUM('КПИ администраторов'!M26:M27)</f>
        <v/>
      </c>
      <c r="G38" s="22" t="n"/>
      <c r="H38" s="5" t="n"/>
      <c r="I38" s="5" t="inlineStr">
        <is>
          <t>Администраторы кпи</t>
        </is>
      </c>
      <c r="J38" s="21">
        <f>SUM('КПИ администраторов'!M28:M29)</f>
        <v/>
      </c>
      <c r="K38" s="22" t="n"/>
      <c r="L38" s="5" t="n"/>
      <c r="M38" s="5" t="inlineStr">
        <is>
          <t>Администраторы кпи</t>
        </is>
      </c>
      <c r="N38" s="21">
        <f>SUM('КПИ администраторов'!M30:M31)</f>
        <v/>
      </c>
      <c r="O38" s="22">
        <f>N38/$F$2</f>
        <v/>
      </c>
      <c r="P38" s="5" t="n"/>
      <c r="Q38" s="5" t="inlineStr">
        <is>
          <t>Администраторы кпи</t>
        </is>
      </c>
      <c r="R38" s="21">
        <f>SUM('КПИ администраторов'!M32:M33)</f>
        <v/>
      </c>
      <c r="S38" s="22">
        <f>R38/$F$2</f>
        <v/>
      </c>
      <c r="T38" s="5" t="n"/>
      <c r="U38" s="5" t="n"/>
      <c r="V38" s="5" t="n"/>
      <c r="W38" s="5" t="n"/>
      <c r="X38" s="5" t="n"/>
      <c r="Y38" s="5" t="n"/>
      <c r="Z38" s="5" t="n"/>
    </row>
    <row r="39" outlineLevel="1" ht="15.75" customHeight="1" s="134">
      <c r="A39" s="17" t="n"/>
      <c r="B39" s="21" t="n"/>
      <c r="C39" s="22" t="n"/>
      <c r="D39" s="5" t="n"/>
      <c r="E39" s="17" t="n"/>
      <c r="F39" s="21" t="n"/>
      <c r="G39" s="22" t="n"/>
      <c r="H39" s="5" t="n"/>
      <c r="I39" s="17" t="n"/>
      <c r="J39" s="21" t="n"/>
      <c r="K39" s="22" t="n"/>
      <c r="L39" s="5" t="n"/>
      <c r="M39" s="17" t="n"/>
      <c r="N39" s="21" t="n"/>
      <c r="O39" s="22" t="n"/>
      <c r="P39" s="5" t="n"/>
      <c r="Q39" s="17" t="n"/>
      <c r="R39" s="21" t="n"/>
      <c r="S39" s="22" t="n"/>
      <c r="T39" s="5" t="n"/>
      <c r="U39" s="5" t="n"/>
      <c r="V39" s="5" t="n"/>
      <c r="W39" s="5" t="n"/>
      <c r="X39" s="5" t="n"/>
      <c r="Y39" s="5" t="n"/>
      <c r="Z39" s="5" t="n"/>
    </row>
    <row r="40" outlineLevel="1" ht="15.75" customHeight="1" s="134">
      <c r="A40" s="90" t="inlineStr">
        <is>
          <t>Переменные расходы на материалы</t>
        </is>
      </c>
      <c r="B40" s="91">
        <f>SUM(B41:B42)</f>
        <v/>
      </c>
      <c r="C40" s="92">
        <f>B40/$B$2</f>
        <v/>
      </c>
      <c r="D40" s="5" t="n"/>
      <c r="E40" s="90" t="inlineStr">
        <is>
          <t>Переменные расходы на материалы</t>
        </is>
      </c>
      <c r="F40" s="91">
        <f>SUM(F41:F42)</f>
        <v/>
      </c>
      <c r="G40" s="92">
        <f>F40/$F$2</f>
        <v/>
      </c>
      <c r="H40" s="5" t="n"/>
      <c r="I40" s="90" t="inlineStr">
        <is>
          <t>Переменные расходы на материалы</t>
        </is>
      </c>
      <c r="J40" s="91">
        <f>SUM(J41:J42)</f>
        <v/>
      </c>
      <c r="K40" s="92">
        <f>J40/$F$2</f>
        <v/>
      </c>
      <c r="L40" s="5" t="n"/>
      <c r="M40" s="90" t="inlineStr">
        <is>
          <t>Переменные расходы на материалы</t>
        </is>
      </c>
      <c r="N40" s="91">
        <f>SUM(N41:N42)</f>
        <v/>
      </c>
      <c r="O40" s="92">
        <f>N40/$F$2</f>
        <v/>
      </c>
      <c r="P40" s="5" t="n"/>
      <c r="Q40" s="90" t="inlineStr">
        <is>
          <t>Переменные расходы на материалы</t>
        </is>
      </c>
      <c r="R40" s="91">
        <f>SUM(R41:R42)</f>
        <v/>
      </c>
      <c r="S40" s="92">
        <f>R40/$F$2</f>
        <v/>
      </c>
      <c r="T40" s="5" t="n"/>
      <c r="U40" s="5" t="n"/>
      <c r="V40" s="5" t="n"/>
      <c r="W40" s="5" t="n"/>
      <c r="X40" s="5" t="n"/>
      <c r="Y40" s="5" t="n"/>
      <c r="Z40" s="5" t="n"/>
    </row>
    <row r="41" outlineLevel="1" ht="15.75" customHeight="1" s="134">
      <c r="A41" s="93" t="inlineStr">
        <is>
          <t>Расходники и препараты (прямые)</t>
        </is>
      </c>
      <c r="B41" s="94" t="n">
        <v>566752</v>
      </c>
      <c r="C41" s="95">
        <f>B41/$B$2</f>
        <v/>
      </c>
      <c r="D41" s="93" t="n"/>
      <c r="E41" s="93" t="inlineStr">
        <is>
          <t>Расходники и препараты (прямые)</t>
        </is>
      </c>
      <c r="F41" s="96" t="n">
        <v>542000</v>
      </c>
      <c r="G41" s="95">
        <f>F41/$F$2</f>
        <v/>
      </c>
      <c r="H41" s="93" t="n"/>
      <c r="I41" s="93" t="inlineStr">
        <is>
          <t>Расходники и препараты (прямые)</t>
        </is>
      </c>
      <c r="J41" s="96" t="n">
        <v>542000</v>
      </c>
      <c r="K41" s="95">
        <f>J41/$F$2</f>
        <v/>
      </c>
      <c r="L41" s="93" t="n"/>
      <c r="M41" s="93" t="inlineStr">
        <is>
          <t>Расходники и препараты (прямые)</t>
        </is>
      </c>
      <c r="N41" s="96" t="n">
        <v>542000</v>
      </c>
      <c r="O41" s="95">
        <f>N41/$F$2</f>
        <v/>
      </c>
      <c r="P41" s="93" t="n"/>
      <c r="Q41" s="93" t="inlineStr">
        <is>
          <t>Расходники и препараты (прямые)</t>
        </is>
      </c>
      <c r="R41" s="96" t="n">
        <v>542000</v>
      </c>
      <c r="S41" s="95">
        <f>R41/$F$2</f>
        <v/>
      </c>
      <c r="T41" s="93" t="n"/>
      <c r="U41" s="93" t="n"/>
      <c r="V41" s="93" t="n"/>
      <c r="W41" s="93" t="n"/>
      <c r="X41" s="93" t="n"/>
      <c r="Y41" s="93" t="n"/>
      <c r="Z41" s="93" t="n"/>
    </row>
    <row r="42" outlineLevel="1" ht="15.75" customHeight="1" s="134">
      <c r="A42" s="93" t="inlineStr">
        <is>
          <t>Закупка косметики на продажу (сглажено)</t>
        </is>
      </c>
      <c r="B42" s="94" t="n">
        <v>346599</v>
      </c>
      <c r="C42" s="95">
        <f>B42/$B$2</f>
        <v/>
      </c>
      <c r="D42" s="93" t="n"/>
      <c r="E42" s="93" t="inlineStr">
        <is>
          <t>Закупка косметики на продажу (сглажено)</t>
        </is>
      </c>
      <c r="F42" s="96" t="n">
        <v>134438</v>
      </c>
      <c r="G42" s="95">
        <f>F42/$F$2</f>
        <v/>
      </c>
      <c r="H42" s="93" t="n"/>
      <c r="I42" s="93" t="inlineStr">
        <is>
          <t>Закупка косметики на продажу (сглажено)</t>
        </is>
      </c>
      <c r="J42" s="96" t="n">
        <v>134438</v>
      </c>
      <c r="K42" s="95">
        <f>J42/$F$2</f>
        <v/>
      </c>
      <c r="L42" s="93" t="n"/>
      <c r="M42" s="93" t="inlineStr">
        <is>
          <t>Закупка косметики на продажу (сглажено)</t>
        </is>
      </c>
      <c r="N42" s="96" t="n">
        <v>134438</v>
      </c>
      <c r="O42" s="95">
        <f>N42/$F$2</f>
        <v/>
      </c>
      <c r="P42" s="93" t="n"/>
      <c r="Q42" s="93" t="inlineStr">
        <is>
          <t>Закупка косметики на продажу (сглажено)</t>
        </is>
      </c>
      <c r="R42" s="96" t="n">
        <v>134438</v>
      </c>
      <c r="S42" s="95">
        <f>R42/$F$2</f>
        <v/>
      </c>
      <c r="T42" s="93" t="n"/>
      <c r="U42" s="93" t="n"/>
      <c r="V42" s="93" t="n"/>
      <c r="W42" s="93" t="n"/>
      <c r="X42" s="93" t="n"/>
      <c r="Y42" s="93" t="n"/>
      <c r="Z42" s="93" t="n"/>
    </row>
    <row r="43" outlineLevel="1" ht="15.75" customHeight="1" s="134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outlineLevel="1" ht="15.75" customHeight="1" s="134">
      <c r="A44" s="90" t="inlineStr">
        <is>
          <t>Другие переменные</t>
        </is>
      </c>
      <c r="B44" s="91">
        <f>SUM(B45)</f>
        <v/>
      </c>
      <c r="C44" s="92">
        <f>B44/$B$2</f>
        <v/>
      </c>
      <c r="D44" s="5" t="n"/>
      <c r="E44" s="90" t="inlineStr">
        <is>
          <t>Другие переменные</t>
        </is>
      </c>
      <c r="F44" s="91">
        <f>SUM(F45)</f>
        <v/>
      </c>
      <c r="G44" s="92">
        <f>F44/$F$2</f>
        <v/>
      </c>
      <c r="H44" s="5" t="n"/>
      <c r="I44" s="90" t="inlineStr">
        <is>
          <t>Другие переменные</t>
        </is>
      </c>
      <c r="J44" s="91">
        <f>SUM(J45)</f>
        <v/>
      </c>
      <c r="K44" s="92">
        <f>J44/$F$2</f>
        <v/>
      </c>
      <c r="L44" s="5" t="n"/>
      <c r="M44" s="90" t="inlineStr">
        <is>
          <t>Другие переменные</t>
        </is>
      </c>
      <c r="N44" s="91">
        <f>SUM(N45)</f>
        <v/>
      </c>
      <c r="O44" s="92">
        <f>N44/$F$2</f>
        <v/>
      </c>
      <c r="P44" s="5" t="n"/>
      <c r="Q44" s="90" t="inlineStr">
        <is>
          <t>Другие переменные</t>
        </is>
      </c>
      <c r="R44" s="91">
        <f>SUM(R45)</f>
        <v/>
      </c>
      <c r="S44" s="92">
        <f>R44/$F$2</f>
        <v/>
      </c>
      <c r="T44" s="5" t="n"/>
      <c r="U44" s="5" t="n"/>
      <c r="V44" s="5" t="n"/>
      <c r="W44" s="5" t="n"/>
      <c r="X44" s="5" t="n"/>
      <c r="Y44" s="5" t="n"/>
      <c r="Z44" s="5" t="n"/>
    </row>
    <row r="45" outlineLevel="1" ht="15.75" customHeight="1" s="134">
      <c r="A45" s="5" t="inlineStr">
        <is>
          <t>Налоги (на прибыль + на ФОТ)</t>
        </is>
      </c>
      <c r="B45" s="21" t="n">
        <v>92014</v>
      </c>
      <c r="C45" s="22">
        <f>B45/$B$2</f>
        <v/>
      </c>
      <c r="D45" s="5" t="n"/>
      <c r="E45" s="5" t="inlineStr">
        <is>
          <t>Налоги (на прибыль + на ФОТ)</t>
        </is>
      </c>
      <c r="F45" s="89" t="n">
        <v>88000</v>
      </c>
      <c r="G45" s="22">
        <f>F45/$F$2</f>
        <v/>
      </c>
      <c r="H45" s="5" t="n"/>
      <c r="I45" s="5" t="inlineStr">
        <is>
          <t>Налоги (на прибыль + на ФОТ)</t>
        </is>
      </c>
      <c r="J45" s="89" t="n">
        <v>88000</v>
      </c>
      <c r="K45" s="22">
        <f>J45/$F$2</f>
        <v/>
      </c>
      <c r="L45" s="5" t="n"/>
      <c r="M45" s="5" t="inlineStr">
        <is>
          <t>Налоги (на прибыль + на ФОТ)</t>
        </is>
      </c>
      <c r="N45" s="89" t="n">
        <v>88000</v>
      </c>
      <c r="O45" s="22">
        <f>N45/$F$2</f>
        <v/>
      </c>
      <c r="P45" s="5" t="n"/>
      <c r="Q45" s="5" t="inlineStr">
        <is>
          <t>Налоги (на прибыль + на ФОТ)</t>
        </is>
      </c>
      <c r="R45" s="89" t="n">
        <v>88000</v>
      </c>
      <c r="S45" s="22">
        <f>R45/$F$2</f>
        <v/>
      </c>
      <c r="T45" s="5" t="n"/>
      <c r="U45" s="5" t="n"/>
      <c r="V45" s="5" t="n"/>
      <c r="W45" s="5" t="n"/>
      <c r="X45" s="5" t="n"/>
      <c r="Y45" s="5" t="n"/>
      <c r="Z45" s="5" t="n"/>
    </row>
    <row r="46" ht="15.75" customHeight="1" s="134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34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34">
      <c r="A48" s="17" t="inlineStr">
        <is>
          <t>ВЫРУЧКА</t>
        </is>
      </c>
      <c r="B48" s="21">
        <f>B2</f>
        <v/>
      </c>
      <c r="C48" s="5" t="n"/>
      <c r="D48" s="5" t="n"/>
      <c r="E48" s="17" t="inlineStr">
        <is>
          <t>ВЫРУЧКА</t>
        </is>
      </c>
      <c r="F48" s="21">
        <f>F2</f>
        <v/>
      </c>
      <c r="G48" s="5" t="n"/>
      <c r="H48" s="5" t="n"/>
      <c r="I48" s="17" t="inlineStr">
        <is>
          <t>ВЫРУЧКА</t>
        </is>
      </c>
      <c r="J48" s="21">
        <f>J2</f>
        <v/>
      </c>
      <c r="K48" s="5" t="n"/>
      <c r="L48" s="5" t="n"/>
      <c r="M48" s="17" t="inlineStr">
        <is>
          <t>ВЫРУЧКА</t>
        </is>
      </c>
      <c r="N48" s="21">
        <f>N2</f>
        <v/>
      </c>
      <c r="O48" s="5" t="n"/>
      <c r="P48" s="5" t="n"/>
      <c r="Q48" s="17" t="inlineStr">
        <is>
          <t>ВЫРУЧКА</t>
        </is>
      </c>
      <c r="R48" s="21">
        <f>R2</f>
        <v/>
      </c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34">
      <c r="A49" s="17" t="inlineStr">
        <is>
          <t>ЧИСТАЯ ПРИБЫЛЬ</t>
        </is>
      </c>
      <c r="B49" s="21">
        <f>B2-B8-B21</f>
        <v/>
      </c>
      <c r="C49" s="5" t="n"/>
      <c r="D49" s="5" t="n"/>
      <c r="E49" s="17" t="inlineStr">
        <is>
          <t>ЧИСТАЯ ПРИБЫЛЬ</t>
        </is>
      </c>
      <c r="F49" s="21">
        <f>F2-F8-F21</f>
        <v/>
      </c>
      <c r="G49" s="5" t="n"/>
      <c r="H49" s="5" t="n"/>
      <c r="I49" s="17" t="inlineStr">
        <is>
          <t>ЧИСТАЯ ПРИБЫЛЬ</t>
        </is>
      </c>
      <c r="J49" s="21">
        <f>J2-J8-J21</f>
        <v/>
      </c>
      <c r="K49" s="5" t="n"/>
      <c r="L49" s="5" t="n"/>
      <c r="M49" s="17" t="inlineStr">
        <is>
          <t>ЧИСТАЯ ПРИБЫЛЬ</t>
        </is>
      </c>
      <c r="N49" s="21">
        <f>N2-N8-N21</f>
        <v/>
      </c>
      <c r="O49" s="5" t="n"/>
      <c r="P49" s="5" t="n"/>
      <c r="Q49" s="17" t="inlineStr">
        <is>
          <t>ЧИСТАЯ ПРИБЫЛЬ</t>
        </is>
      </c>
      <c r="R49" s="21">
        <f>R2-R8-R21</f>
        <v/>
      </c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34">
      <c r="A50" s="5" t="inlineStr">
        <is>
          <t>СРЕДНИЙ ЧЕК</t>
        </is>
      </c>
      <c r="B50" s="21">
        <f>B2/B5</f>
        <v/>
      </c>
      <c r="C50" s="5" t="n"/>
      <c r="D50" s="5" t="n"/>
      <c r="E50" s="5" t="inlineStr">
        <is>
          <t>СРЕДНИЙ ЧЕК</t>
        </is>
      </c>
      <c r="F50" s="21">
        <f>F2/F5</f>
        <v/>
      </c>
      <c r="G50" s="5" t="n"/>
      <c r="H50" s="5" t="n"/>
      <c r="I50" s="5" t="inlineStr">
        <is>
          <t>СРЕДНИЙ ЧЕК</t>
        </is>
      </c>
      <c r="J50" s="21">
        <f>J2/J5</f>
        <v/>
      </c>
      <c r="K50" s="5" t="n"/>
      <c r="L50" s="5" t="n"/>
      <c r="M50" s="5" t="inlineStr">
        <is>
          <t>СРЕДНИЙ ЧЕК</t>
        </is>
      </c>
      <c r="N50" s="21">
        <f>N2/N5</f>
        <v/>
      </c>
      <c r="O50" s="5" t="n"/>
      <c r="P50" s="5" t="n"/>
      <c r="Q50" s="5" t="inlineStr">
        <is>
          <t>СРЕДНИЙ ЧЕК</t>
        </is>
      </c>
      <c r="R50" s="21">
        <f>R2/R5</f>
        <v/>
      </c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34">
      <c r="A51" s="5" t="inlineStr">
        <is>
          <t>Средний расход на клиента</t>
        </is>
      </c>
      <c r="B51" s="21">
        <f>(B8+B21)/B5</f>
        <v/>
      </c>
      <c r="C51" s="5" t="n"/>
      <c r="D51" s="5" t="n"/>
      <c r="E51" s="5" t="inlineStr">
        <is>
          <t>Средний расход на клиента</t>
        </is>
      </c>
      <c r="F51" s="21">
        <f>(F8+F21)/F5</f>
        <v/>
      </c>
      <c r="G51" s="5" t="n"/>
      <c r="H51" s="5" t="n"/>
      <c r="I51" s="5" t="inlineStr">
        <is>
          <t>Средний расход на клиента</t>
        </is>
      </c>
      <c r="J51" s="21">
        <f>(J8+J21)/J5</f>
        <v/>
      </c>
      <c r="K51" s="5" t="n"/>
      <c r="L51" s="5" t="n"/>
      <c r="M51" s="5" t="inlineStr">
        <is>
          <t>Средний расход на клиента</t>
        </is>
      </c>
      <c r="N51" s="21">
        <f>(N8+N21)/N5</f>
        <v/>
      </c>
      <c r="O51" s="5" t="n"/>
      <c r="P51" s="5" t="n"/>
      <c r="Q51" s="5" t="inlineStr">
        <is>
          <t>Средний расход на клиента</t>
        </is>
      </c>
      <c r="R51" s="21">
        <f>(R8+R21)/R5</f>
        <v/>
      </c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34">
      <c r="A52" s="5" t="inlineStr">
        <is>
          <t>Средний доход с 1 клиента</t>
        </is>
      </c>
      <c r="B52" s="21">
        <f>B50-B51</f>
        <v/>
      </c>
      <c r="C52" s="5" t="n"/>
      <c r="D52" s="5" t="n"/>
      <c r="E52" s="5" t="inlineStr">
        <is>
          <t>Средний доход с 1 клиента</t>
        </is>
      </c>
      <c r="F52" s="21">
        <f>F50-F51</f>
        <v/>
      </c>
      <c r="G52" s="5" t="n"/>
      <c r="H52" s="5" t="n"/>
      <c r="I52" s="5" t="inlineStr">
        <is>
          <t>Средний доход с 1 клиента</t>
        </is>
      </c>
      <c r="J52" s="21">
        <f>J50-J51</f>
        <v/>
      </c>
      <c r="K52" s="5" t="n"/>
      <c r="L52" s="5" t="n"/>
      <c r="M52" s="5" t="inlineStr">
        <is>
          <t>Средний доход с 1 клиента</t>
        </is>
      </c>
      <c r="N52" s="21">
        <f>N50-N51</f>
        <v/>
      </c>
      <c r="O52" s="5" t="n"/>
      <c r="P52" s="5" t="n"/>
      <c r="Q52" s="5" t="inlineStr">
        <is>
          <t>Средний доход с 1 клиента</t>
        </is>
      </c>
      <c r="R52" s="21">
        <f>R50-R51</f>
        <v/>
      </c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34">
      <c r="A53" s="5" t="inlineStr">
        <is>
          <t>Расход дня / стоимость рабочего дня клиники</t>
        </is>
      </c>
      <c r="B53" s="21">
        <f>(B8+B21)/30</f>
        <v/>
      </c>
      <c r="C53" s="5" t="n"/>
      <c r="D53" s="5" t="n"/>
      <c r="E53" s="5" t="inlineStr">
        <is>
          <t>Расход дня / стоимость рабочего дня клиники</t>
        </is>
      </c>
      <c r="F53" s="21">
        <f>(F8+F21)/30</f>
        <v/>
      </c>
      <c r="G53" s="5" t="n"/>
      <c r="H53" s="5" t="n"/>
      <c r="I53" s="5" t="inlineStr">
        <is>
          <t>Расход дня / стоимость рабочего дня клиники</t>
        </is>
      </c>
      <c r="J53" s="21">
        <f>(J8+J21)/30</f>
        <v/>
      </c>
      <c r="K53" s="5" t="n"/>
      <c r="L53" s="5" t="n"/>
      <c r="M53" s="5" t="inlineStr">
        <is>
          <t>Расход дня / стоимость рабочего дня клиники</t>
        </is>
      </c>
      <c r="N53" s="21">
        <f>(N8+N21)/30</f>
        <v/>
      </c>
      <c r="O53" s="5" t="n"/>
      <c r="P53" s="5" t="n"/>
      <c r="Q53" s="5" t="inlineStr">
        <is>
          <t>Расход дня / стоимость рабочего дня клиники</t>
        </is>
      </c>
      <c r="R53" s="21">
        <f>(R8+R21)/30</f>
        <v/>
      </c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34">
      <c r="A54" s="5" t="inlineStr">
        <is>
          <t>Сколько клиентов нужно принять в месяц, чтобы работать в ноль</t>
        </is>
      </c>
      <c r="B54" s="13">
        <f>(B8+B21)/B50</f>
        <v/>
      </c>
      <c r="C54" s="5" t="n"/>
      <c r="D54" s="5" t="n"/>
      <c r="E54" s="5" t="inlineStr">
        <is>
          <t>Сколько клиентов нужно принять в месяц, чтобы работать в ноль</t>
        </is>
      </c>
      <c r="F54" s="13">
        <f>(F8+F21)/F50</f>
        <v/>
      </c>
      <c r="G54" s="5" t="n"/>
      <c r="H54" s="5" t="n"/>
      <c r="I54" s="5" t="inlineStr">
        <is>
          <t>Сколько клиентов нужно принять в месяц, чтобы работать в ноль</t>
        </is>
      </c>
      <c r="J54" s="13">
        <f>(J8+J21)/J50</f>
        <v/>
      </c>
      <c r="K54" s="5" t="n"/>
      <c r="L54" s="5" t="n"/>
      <c r="M54" s="5" t="inlineStr">
        <is>
          <t>Сколько клиентов нужно принять в месяц, чтобы работать в ноль</t>
        </is>
      </c>
      <c r="N54" s="13">
        <f>(N8+N21)/N50</f>
        <v/>
      </c>
      <c r="O54" s="5" t="n"/>
      <c r="P54" s="5" t="n"/>
      <c r="Q54" s="5" t="inlineStr">
        <is>
          <t>Сколько клиентов нужно принять в месяц, чтобы работать в ноль</t>
        </is>
      </c>
      <c r="R54" s="13">
        <f>(R8+R21)/R50</f>
        <v/>
      </c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34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45" customHeight="1" s="134">
      <c r="A56" s="23" t="inlineStr">
        <is>
          <t>Структура — как в твоём шаблоне «Основной инструмент (мотивация)», вкладка РАСЧЁТ. «ФОТ офиса» теперь расписан по строкам (СЕО/Управляющий/Администраторы/Прочее) по твоей просьбе. Жёлтые ячейки в «Точка Б» редактируемые.</t>
        </is>
      </c>
      <c r="H56" s="5" t="n"/>
      <c r="I56" s="105" t="n"/>
      <c r="J56" s="105" t="n"/>
      <c r="K56" s="105" t="n"/>
      <c r="L56" s="5" t="n"/>
      <c r="M56" s="105" t="n"/>
      <c r="N56" s="105" t="n"/>
      <c r="O56" s="105" t="n"/>
      <c r="P56" s="5" t="n"/>
      <c r="Q56" s="105" t="n"/>
      <c r="R56" s="105" t="n"/>
      <c r="S56" s="10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34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34">
      <c r="A58" s="140" t="inlineStr">
        <is>
          <t>СТРУКТУРА ВЫРУЧКИ ПО КАТЕГОРИЯМ — текущая ситуация (среднее июнь-июль 2026)</t>
        </is>
      </c>
      <c r="E58" s="140" t="inlineStr">
        <is>
          <t>ПРЕДЛОЖЕНИЕ: разбивка плана «Остальные» на сентябрь (1 000 000 ₽) — без Анны, с Татьяной и Анжелой</t>
        </is>
      </c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34">
      <c r="A59" s="141" t="inlineStr">
        <is>
          <t>Эльвира</t>
        </is>
      </c>
      <c r="E59" s="142" t="inlineStr">
        <is>
          <t>Категория / статья</t>
        </is>
      </c>
      <c r="F59" s="142" t="inlineStr">
        <is>
          <t>Факт, ₽/мес (июнь-июль)</t>
        </is>
      </c>
      <c r="G59" s="142" t="inlineStr">
        <is>
          <t>План сентябрь, ₽</t>
        </is>
      </c>
      <c r="H59" s="142" t="inlineStr">
        <is>
          <t>Доля плана</t>
        </is>
      </c>
      <c r="I59" s="142" t="inlineStr">
        <is>
          <t>Логика</t>
        </is>
      </c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34">
      <c r="A60" s="142" t="inlineStr">
        <is>
          <t>Категория / статья</t>
        </is>
      </c>
      <c r="B60" s="142" t="inlineStr">
        <is>
          <t>₽/мес (среднее)</t>
        </is>
      </c>
      <c r="C60" s="142" t="inlineStr">
        <is>
          <t>Доля от выручки мастера</t>
        </is>
      </c>
      <c r="D60" s="5" t="inlineStr"/>
      <c r="E60" s="5" t="inlineStr">
        <is>
          <t>Лазерная эпиляция</t>
        </is>
      </c>
      <c r="F60" s="143" t="n">
        <v>344550</v>
      </c>
      <c r="G60" s="150" t="n">
        <v>262600</v>
      </c>
      <c r="H60" s="144">
        <f>G60/$G$68</f>
        <v/>
      </c>
      <c r="I60" s="5" t="inlineStr">
        <is>
          <t>Татьяна+Александра+Влада — Анна в этой категории не участвовала, доля не меняется</t>
        </is>
      </c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34">
      <c r="A61" s="5" t="inlineStr">
        <is>
          <t>Инъекционная косметология</t>
        </is>
      </c>
      <c r="B61" s="143" t="n">
        <v>1167274</v>
      </c>
      <c r="C61" s="144" t="n">
        <v>0.799</v>
      </c>
      <c r="D61" s="5" t="n"/>
      <c r="E61" s="5" t="inlineStr">
        <is>
          <t>Эстетическая косметология</t>
        </is>
      </c>
      <c r="F61" s="143" t="n">
        <v>231738</v>
      </c>
      <c r="G61" s="150" t="n">
        <v>157400</v>
      </c>
      <c r="H61" s="144">
        <f>G61/$G$68</f>
        <v/>
      </c>
      <c r="I61" s="5" t="inlineStr">
        <is>
          <t>Татьяна+Влада+Анжела — без Анны (была 108к/мес, крупнейший вклад в эстетику), категория заметно просела</t>
        </is>
      </c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34">
      <c r="A62" s="5" t="inlineStr">
        <is>
          <t>Продажа товаров</t>
        </is>
      </c>
      <c r="B62" s="143" t="n">
        <v>192440</v>
      </c>
      <c r="C62" s="144" t="n">
        <v>0.132</v>
      </c>
      <c r="D62" s="5" t="n"/>
      <c r="E62" s="5" t="inlineStr">
        <is>
          <t>Инъекционная косметология</t>
        </is>
      </c>
      <c r="F62" s="143" t="n">
        <v>198593</v>
      </c>
      <c r="G62" s="150" t="n">
        <v>240400</v>
      </c>
      <c r="H62" s="144">
        <f>G62/$G$68</f>
        <v/>
      </c>
      <c r="I62" s="5" t="inlineStr">
        <is>
          <t>Татьяна+Анжела — без Анны (была 50к/мес), но Анжела (167к/мес) с запасом перекрывает потерю</t>
        </is>
      </c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34">
      <c r="A63" s="5" t="inlineStr">
        <is>
          <t>Прочие услуги (акции/аппаратная/обучение/сеты)</t>
        </is>
      </c>
      <c r="B63" s="143" t="n">
        <v>80950</v>
      </c>
      <c r="C63" s="144" t="n">
        <v>0.055</v>
      </c>
      <c r="D63" s="5" t="n"/>
      <c r="E63" s="5" t="inlineStr">
        <is>
          <t>Товары</t>
        </is>
      </c>
      <c r="F63" s="143" t="n">
        <v>121873</v>
      </c>
      <c r="G63" s="150" t="n">
        <v>115600</v>
      </c>
      <c r="H63" s="144">
        <f>G63/$G$68</f>
        <v/>
      </c>
      <c r="I63" s="5" t="inlineStr">
        <is>
          <t>Без Анны (была 35к/мес), + вклад Анжелы и неатрибутированной розницы</t>
        </is>
      </c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34">
      <c r="A64" s="5" t="inlineStr">
        <is>
          <t>Эстетическая косметология</t>
        </is>
      </c>
      <c r="B64" s="143" t="n">
        <v>20168</v>
      </c>
      <c r="C64" s="144" t="n">
        <v>0.014</v>
      </c>
      <c r="D64" s="5" t="n"/>
      <c r="E64" s="5" t="inlineStr">
        <is>
          <t>Абонементы</t>
        </is>
      </c>
      <c r="F64" s="143" t="n">
        <v>87750</v>
      </c>
      <c r="G64" s="150" t="n">
        <v>66900</v>
      </c>
      <c r="H64" s="144">
        <f>G64/$G$68</f>
        <v/>
      </c>
      <c r="I64" s="5" t="inlineStr">
        <is>
          <t>Без изменений — у Анны абонементов не было</t>
        </is>
      </c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34">
      <c r="A65" s="5" t="inlineStr">
        <is>
          <t>Массаж</t>
        </is>
      </c>
      <c r="B65" s="143" t="n">
        <v>0</v>
      </c>
      <c r="C65" s="144" t="n">
        <v>0</v>
      </c>
      <c r="D65" s="5" t="n"/>
      <c r="E65" s="5" t="inlineStr">
        <is>
          <t>Пополнение депозита</t>
        </is>
      </c>
      <c r="F65" s="143" t="n">
        <v>87100</v>
      </c>
      <c r="G65" s="150" t="n">
        <v>66400</v>
      </c>
      <c r="H65" s="144">
        <f>G65/$G$68</f>
        <v/>
      </c>
      <c r="I65" s="5" t="inlineStr">
        <is>
          <t>Без изменений</t>
        </is>
      </c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34">
      <c r="A66" s="145" t="inlineStr">
        <is>
          <t>ИТОГО</t>
        </is>
      </c>
      <c r="B66" s="146" t="n">
        <v>1460832</v>
      </c>
      <c r="C66" s="5" t="n"/>
      <c r="D66" s="5" t="n"/>
      <c r="E66" s="5" t="inlineStr">
        <is>
          <t>Массаж</t>
        </is>
      </c>
      <c r="F66" s="143" t="n">
        <v>74082</v>
      </c>
      <c r="G66" s="150" t="n">
        <v>56300</v>
      </c>
      <c r="H66" s="144">
        <f>G66/$G$68</f>
        <v/>
      </c>
      <c r="I66" s="5" t="inlineStr">
        <is>
          <t>Без изменений — у Анны массажа почти не было</t>
        </is>
      </c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34">
      <c r="A67" s="5" t="n"/>
      <c r="B67" s="5" t="n"/>
      <c r="C67" s="5" t="n"/>
      <c r="D67" s="5" t="n"/>
      <c r="E67" s="5" t="inlineStr">
        <is>
          <t>Прочее + сертификаты</t>
        </is>
      </c>
      <c r="F67" s="143" t="n">
        <v>55691</v>
      </c>
      <c r="G67" s="150" t="n">
        <v>34400</v>
      </c>
      <c r="H67" s="144">
        <f>G67/$G$68</f>
        <v/>
      </c>
      <c r="I67" s="5" t="inlineStr">
        <is>
          <t>Без Анны (была 22к/мес — крупнейший вклад в «прочее»)</t>
        </is>
      </c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34">
      <c r="A68" s="141" t="inlineStr">
        <is>
          <t>Остальные мастера</t>
        </is>
      </c>
      <c r="E68" s="145" t="inlineStr">
        <is>
          <t>ИТОГО</t>
        </is>
      </c>
      <c r="F68" s="146">
        <f>SUM(F60:F67)</f>
        <v/>
      </c>
      <c r="G68" s="146">
        <f>SUM(G60:G67)</f>
        <v/>
      </c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34">
      <c r="A69" s="142" t="inlineStr">
        <is>
          <t>Категория / статья</t>
        </is>
      </c>
      <c r="B69" s="142" t="inlineStr">
        <is>
          <t>₽/мес (среднее)</t>
        </is>
      </c>
      <c r="C69" s="142" t="inlineStr">
        <is>
          <t>Доля от выручки мастера</t>
        </is>
      </c>
      <c r="D69" s="5" t="inlineStr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10" customHeight="1" s="134">
      <c r="A70" s="5" t="inlineStr">
        <is>
          <t>Лазерная эпиляция</t>
        </is>
      </c>
      <c r="B70" s="143" t="n">
        <v>344550</v>
      </c>
      <c r="C70" s="144" t="n">
        <v>0.287</v>
      </c>
      <c r="D70" s="5" t="n"/>
      <c r="E70" s="147" t="inlineStr">
        <is>
          <t>Обновлено 31.08 (3): Анна уходит с сентября — убрала её вклад из базы (была: эстетика 108к/мес, инъекционка 50к/мес, товары 35к/мес, прочее 22к/мес). Сильнее всего просела эстетическая косметология — Анна была там крупнейшим источником среди «Остальных» после Татьяны. Инъекционка почти не пострадала — Анжелин вклад (167к/мес) с запасом перекрывает уход Анны (50к/мес). Пропорции по-прежнему масштабированы вниз под твёрдый план 1 000 000 ₽ (F4, фикс, не формула).</t>
        </is>
      </c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34">
      <c r="A71" s="5" t="inlineStr">
        <is>
          <t>Эстетическая косметология</t>
        </is>
      </c>
      <c r="B71" s="143" t="n">
        <v>231738</v>
      </c>
      <c r="C71" s="144" t="n">
        <v>0.193</v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34">
      <c r="A72" s="5" t="inlineStr">
        <is>
          <t>Инъекционная косметология</t>
        </is>
      </c>
      <c r="B72" s="143" t="n">
        <v>198593</v>
      </c>
      <c r="C72" s="144" t="n">
        <v>0.165</v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34">
      <c r="A73" s="5" t="inlineStr">
        <is>
          <t>Продажа товаров</t>
        </is>
      </c>
      <c r="B73" s="143" t="n">
        <v>121873</v>
      </c>
      <c r="C73" s="144" t="n">
        <v>0.101</v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34">
      <c r="A74" s="5" t="inlineStr">
        <is>
          <t>Абонементы</t>
        </is>
      </c>
      <c r="B74" s="143" t="n">
        <v>87750</v>
      </c>
      <c r="C74" s="144" t="n">
        <v>0.073</v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34">
      <c r="A75" s="5" t="inlineStr">
        <is>
          <t>Пополнение депозита</t>
        </is>
      </c>
      <c r="B75" s="143" t="n">
        <v>87100</v>
      </c>
      <c r="C75" s="144" t="n">
        <v>0.073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34">
      <c r="A76" s="5" t="inlineStr">
        <is>
          <t>Массаж</t>
        </is>
      </c>
      <c r="B76" s="143" t="n">
        <v>74082</v>
      </c>
      <c r="C76" s="144" t="n">
        <v>0.062</v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34">
      <c r="A77" s="5" t="inlineStr">
        <is>
          <t>Прочие услуги</t>
        </is>
      </c>
      <c r="B77" s="143" t="n">
        <v>40691</v>
      </c>
      <c r="C77" s="144" t="n">
        <v>0.034</v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34">
      <c r="A78" s="5" t="inlineStr">
        <is>
          <t>Сертификаты</t>
        </is>
      </c>
      <c r="B78" s="143" t="n">
        <v>15000</v>
      </c>
      <c r="C78" s="144" t="n">
        <v>0.012</v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34">
      <c r="A79" s="145" t="inlineStr">
        <is>
          <t>ИТОГО</t>
        </is>
      </c>
      <c r="B79" s="146" t="n">
        <v>1201377</v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34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90" customHeight="1" s="134">
      <c r="A81" s="147" t="inlineStr">
        <is>
          <t>Методология: выручка по услугам — сумма cost_to_pay (реально оплаченное клиентом после скидок) по категории услуги (4 группы — Инъекционная косметология, Эстетическая косметология, Лазерная эпиляция [Женская+Мужская ЛЭ], Массаж [Ручной+Аппаратный]), привязана к мастеру записи. Продажа товаров/абонементов/сертификатов/пополнение депозита — по транзакциям, привязанным к визиту мастера. «Прочие услуги» — Акции, Аппаратная косметология, Обучение, Сеты (разово/нерегулярно, не входят в 4 основные группы). Итог по Эльвире и Остальным чуть отличается от строк 2-4 выше (другая методика — cost_to_pay по услуге, а не транзакция целиком), расхождение ~1%, для структурного анализа категорий не критично.</t>
        </is>
      </c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34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34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34">
      <c r="A84" s="151" t="n"/>
      <c r="B84" s="151" t="n"/>
      <c r="C84" s="151" t="n"/>
      <c r="D84" s="151" t="n"/>
      <c r="E84" s="151" t="n"/>
      <c r="F84" s="151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34">
      <c r="A85" s="151" t="n"/>
      <c r="B85" s="151" t="n"/>
      <c r="C85" s="151" t="n"/>
      <c r="D85" s="151" t="n"/>
      <c r="E85" s="151" t="n"/>
      <c r="F85" s="151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34">
      <c r="A86" s="151" t="n"/>
      <c r="B86" s="152" t="n"/>
      <c r="C86" s="152" t="n"/>
      <c r="D86" s="153" t="n"/>
      <c r="E86" s="151" t="n"/>
      <c r="F86" s="151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34">
      <c r="A87" s="151" t="n"/>
      <c r="B87" s="152" t="n"/>
      <c r="C87" s="152" t="n"/>
      <c r="D87" s="153" t="n"/>
      <c r="E87" s="151" t="n"/>
      <c r="F87" s="151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34">
      <c r="A88" s="151" t="n"/>
      <c r="B88" s="152" t="n"/>
      <c r="C88" s="152" t="n"/>
      <c r="D88" s="153" t="n"/>
      <c r="E88" s="151" t="n"/>
      <c r="F88" s="151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34">
      <c r="A89" s="151" t="n"/>
      <c r="B89" s="152" t="n"/>
      <c r="C89" s="152" t="n"/>
      <c r="D89" s="153" t="n"/>
      <c r="E89" s="151" t="n"/>
      <c r="F89" s="151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34">
      <c r="A90" s="151" t="n"/>
      <c r="B90" s="152" t="n"/>
      <c r="C90" s="152" t="n"/>
      <c r="D90" s="153" t="n"/>
      <c r="E90" s="151" t="n"/>
      <c r="F90" s="151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34">
      <c r="A91" s="151" t="n"/>
      <c r="B91" s="152" t="n"/>
      <c r="C91" s="152" t="n"/>
      <c r="D91" s="153" t="n"/>
      <c r="E91" s="151" t="n"/>
      <c r="F91" s="151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34">
      <c r="A92" s="151" t="n"/>
      <c r="B92" s="152" t="n"/>
      <c r="C92" s="152" t="n"/>
      <c r="D92" s="153" t="n"/>
      <c r="E92" s="151" t="n"/>
      <c r="F92" s="151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34">
      <c r="A93" s="151" t="n"/>
      <c r="B93" s="152" t="n"/>
      <c r="C93" s="152" t="n"/>
      <c r="D93" s="153" t="n"/>
      <c r="E93" s="151" t="n"/>
      <c r="F93" s="151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34">
      <c r="A94" s="151" t="n"/>
      <c r="B94" s="152" t="n"/>
      <c r="C94" s="152" t="n"/>
      <c r="D94" s="151" t="n"/>
      <c r="E94" s="151" t="n"/>
      <c r="F94" s="151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34">
      <c r="A95" s="151" t="n"/>
      <c r="B95" s="151" t="n"/>
      <c r="C95" s="151" t="n"/>
      <c r="D95" s="151" t="n"/>
      <c r="E95" s="151" t="n"/>
      <c r="F95" s="151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90" customHeight="1" s="134">
      <c r="A96" s="151" t="n"/>
      <c r="B96" s="151" t="n"/>
      <c r="C96" s="151" t="n"/>
      <c r="D96" s="151" t="n"/>
      <c r="E96" s="151" t="n"/>
      <c r="F96" s="151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34">
      <c r="A97" s="151" t="n"/>
      <c r="B97" s="151" t="n"/>
      <c r="C97" s="151" t="n"/>
      <c r="D97" s="151" t="n"/>
      <c r="E97" s="151" t="n"/>
      <c r="F97" s="151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34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34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34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34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34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34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3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34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34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34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34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34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34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34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34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34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3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34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34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34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3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3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3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3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3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3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3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3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3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3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3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3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3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3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3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3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3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3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3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3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3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3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3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3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3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3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3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3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3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3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3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3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3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3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3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3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3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3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3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3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3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3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3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3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3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3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3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3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3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3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3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3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3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3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3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3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3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3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3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3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3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3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3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3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3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3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3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3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3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3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3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3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3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3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3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3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3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3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3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3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3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3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3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3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3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3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3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3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3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3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3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3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3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3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3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3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3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3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3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3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3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3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3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3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3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3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3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3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3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3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3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3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3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3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3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3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3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3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3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3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3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3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3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3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3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3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3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3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3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3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3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3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3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3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3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3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3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34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34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34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34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34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34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34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3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34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34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34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34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34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34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34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34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34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3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34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34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34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34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34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34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34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34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34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3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34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34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34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34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34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34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34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34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34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3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34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34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34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34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34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34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34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34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34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3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34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34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34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34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34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34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34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34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34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3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34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34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34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34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34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34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34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34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34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3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34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34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34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34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34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34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34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34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34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34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34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34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34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34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34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34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34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34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3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34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34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34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34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34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34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34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34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34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3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34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34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34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34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34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34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34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34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34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3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34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34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34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34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34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34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34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34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34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3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34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34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34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34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34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34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34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34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34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3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34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34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34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34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34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34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34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34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34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3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34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34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34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34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34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34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34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34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34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3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34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34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34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34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34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34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34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34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34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3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34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34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34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34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34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34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34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34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34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3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34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34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34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34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34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34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34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34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34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34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34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34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34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34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34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34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34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34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3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34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34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34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34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34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34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34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34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34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3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34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34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34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34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34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34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34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34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34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3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34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34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34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34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34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34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34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34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34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3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34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34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34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34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34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34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34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34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34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3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34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34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34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34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34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34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34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34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34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3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34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34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34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34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34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34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34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34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34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3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34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34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34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34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34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34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34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34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34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3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34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34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34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34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34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34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34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34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34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3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34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34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34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34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34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34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34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34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34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34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34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34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34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34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34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34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34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34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3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34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34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34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34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34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34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34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34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34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3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34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34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34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34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34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34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34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34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34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3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34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34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34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34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34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34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34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34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34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3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34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34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34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34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34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34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34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34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34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3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34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34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34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34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34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34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34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34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34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3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34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34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34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34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34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34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34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34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34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3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34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34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34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34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34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34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34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34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34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3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34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34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34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34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34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34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34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34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34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3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34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34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34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34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34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34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34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34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34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34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34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34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34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34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34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34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34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34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3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34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34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34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34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34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34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34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34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34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3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34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34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34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34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34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34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34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34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34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3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34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34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34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34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34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34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34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34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34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3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34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34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34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34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34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34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34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34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34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3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34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34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34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34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34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34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34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34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34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3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34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34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34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34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34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34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34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34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34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3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34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34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34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34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34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34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34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34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34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3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34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34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34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34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34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34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34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34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34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3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34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34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34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34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34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34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34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34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34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34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34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34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34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34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34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34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34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34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3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34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34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34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34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34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34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34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34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34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3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34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34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34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34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34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34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34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34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34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3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34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34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34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34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34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34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34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34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34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3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34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34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34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34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34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34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34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34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34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3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34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34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34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34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34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34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34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34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34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3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34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34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34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34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34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34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34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34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34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3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34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34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34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34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34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34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34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34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34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3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34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34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34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34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34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34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34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34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34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3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34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34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34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34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34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34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34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34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34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34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34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34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34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34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34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34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34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34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3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34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34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34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34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34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34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34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34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34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3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34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34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34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34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34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34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34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34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34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3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34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34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34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34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34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34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34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34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34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3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34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34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34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34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34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34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34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34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34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3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34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34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34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34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34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34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34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34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34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3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34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34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34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34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34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34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34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34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34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3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34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34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34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34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34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34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34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34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34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3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34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34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34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34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34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34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34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34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34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3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34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34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34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34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34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34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34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34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34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34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34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34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34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34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34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34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34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34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3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34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34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34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34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34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34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34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34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34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3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34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34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34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34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34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34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34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34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34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3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34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34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34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34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34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34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34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34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34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3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34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34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34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34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34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34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34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34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34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3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34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34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34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34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34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34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34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34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34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3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34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34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34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34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34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34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2">
    <mergeCell ref="A56:G56"/>
    <mergeCell ref="A58:D58"/>
    <mergeCell ref="A68:D68"/>
    <mergeCell ref="E70:J70"/>
    <mergeCell ref="J1:K1"/>
    <mergeCell ref="A59:D59"/>
    <mergeCell ref="F1:G1"/>
    <mergeCell ref="B1:C1"/>
    <mergeCell ref="N1:O1"/>
    <mergeCell ref="R1:S1"/>
    <mergeCell ref="E58:I58"/>
    <mergeCell ref="A81:F81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selection activeCell="A1" sqref="A1"/>
    </sheetView>
  </sheetViews>
  <sheetFormatPr baseColWidth="8" defaultColWidth="14.43" defaultRowHeight="15" customHeight="1" outlineLevelRow="1"/>
  <cols>
    <col width="21.43" customWidth="1" style="134" min="1" max="1"/>
    <col width="14.57" customWidth="1" style="134" min="2" max="2"/>
    <col width="11.86" customWidth="1" style="134" min="3" max="3"/>
    <col width="14.29" customWidth="1" style="134" min="4" max="4"/>
    <col width="14" customWidth="1" style="134" min="5" max="5"/>
    <col width="12" customWidth="1" style="134" min="6" max="6"/>
    <col width="16" customWidth="1" style="134" min="7" max="7"/>
    <col width="12" customWidth="1" style="134" min="8" max="8"/>
    <col width="10" customWidth="1" style="134" min="9" max="9"/>
    <col width="12" customWidth="1" style="134" min="10" max="10"/>
    <col width="10" customWidth="1" style="134" min="11" max="12"/>
    <col width="12" customWidth="1" style="134" min="13" max="14"/>
    <col width="8.710000000000001" customWidth="1" style="134" min="15" max="27"/>
  </cols>
  <sheetData>
    <row r="1">
      <c r="A1" s="3" t="inlineStr">
        <is>
          <t>КПИ администраторов — калькулятор</t>
        </is>
      </c>
      <c r="G1" s="100" t="n"/>
      <c r="H1" s="100" t="n"/>
      <c r="I1" s="100" t="n"/>
      <c r="J1" s="100" t="n"/>
      <c r="K1" s="100" t="n"/>
      <c r="L1" s="100" t="n"/>
      <c r="M1" s="100" t="n"/>
      <c r="N1" s="100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</row>
    <row r="2">
      <c r="A2" s="100" t="n"/>
      <c r="B2" s="100" t="n"/>
      <c r="C2" s="100" t="n"/>
      <c r="D2" s="100" t="n"/>
      <c r="E2" s="100" t="n"/>
      <c r="F2" s="100" t="n"/>
      <c r="G2" s="100" t="n"/>
      <c r="H2" s="100" t="n"/>
      <c r="I2" s="100" t="n"/>
      <c r="J2" s="100" t="n"/>
      <c r="K2" s="100" t="n"/>
      <c r="L2" s="100" t="n"/>
      <c r="M2" s="100" t="n"/>
      <c r="N2" s="100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</row>
    <row r="3">
      <c r="A3" s="17" t="inlineStr">
        <is>
          <t>Правила начисления (жёлтые — можно менять)</t>
        </is>
      </c>
      <c r="C3" s="97" t="inlineStr">
        <is>
          <t>Сейчас</t>
        </is>
      </c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</row>
    <row r="4">
      <c r="A4" s="5" t="inlineStr">
        <is>
          <t>Фикс за смену</t>
        </is>
      </c>
      <c r="B4" s="103" t="n">
        <v>2000</v>
      </c>
      <c r="C4" s="99" t="n">
        <v>2500</v>
      </c>
      <c r="D4" s="100" t="inlineStr">
        <is>
          <t>- чистота
- подтверждения записей
- корректное ведение срм и фин таблицы
- своевременное выполнение задач от рук-ва</t>
        </is>
      </c>
      <c r="H4" s="100" t="n"/>
      <c r="I4" s="100" t="n"/>
      <c r="J4" s="100" t="n"/>
      <c r="K4" s="100" t="n"/>
      <c r="L4" s="100" t="n"/>
      <c r="M4" s="100" t="n"/>
      <c r="N4" s="100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</row>
    <row r="5">
      <c r="A5" s="100" t="n"/>
      <c r="B5" s="100" t="n"/>
      <c r="C5" s="101" t="n"/>
      <c r="D5" s="100" t="n"/>
      <c r="E5" s="100" t="n"/>
      <c r="F5" s="100" t="n"/>
      <c r="G5" s="100" t="n"/>
      <c r="H5" s="100" t="n"/>
      <c r="I5" s="100" t="n"/>
      <c r="J5" s="100" t="n"/>
      <c r="K5" s="100" t="n"/>
      <c r="L5" s="100" t="n"/>
      <c r="M5" s="100" t="n"/>
      <c r="N5" s="100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</row>
    <row r="6">
      <c r="A6" s="17" t="inlineStr">
        <is>
          <t>Загрузка специалистов (клиника, за месяц), на всех</t>
        </is>
      </c>
      <c r="C6" s="97" t="inlineStr">
        <is>
          <t>Сейчас</t>
        </is>
      </c>
      <c r="D6" s="102" t="inlineStr">
        <is>
          <t>сомнения</t>
        </is>
      </c>
      <c r="E6" s="100" t="n"/>
      <c r="F6" s="100" t="n"/>
      <c r="G6" s="100" t="n"/>
      <c r="H6" s="100" t="n"/>
      <c r="I6" s="100" t="n"/>
      <c r="J6" s="100" t="n"/>
      <c r="K6" s="100" t="n"/>
      <c r="L6" s="100" t="n"/>
      <c r="M6" s="100" t="n"/>
      <c r="N6" s="100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</row>
    <row r="7">
      <c r="A7" s="5" t="inlineStr">
        <is>
          <t>&lt; 55%</t>
        </is>
      </c>
      <c r="B7" s="103" t="n">
        <v>0</v>
      </c>
      <c r="C7" s="101" t="inlineStr">
        <is>
          <t>56,% с Эльвирой
48% без Эльвиры</t>
        </is>
      </c>
      <c r="E7" s="100" t="n"/>
      <c r="F7" s="100" t="n"/>
      <c r="G7" s="100" t="n"/>
      <c r="H7" s="100" t="n"/>
      <c r="I7" s="100" t="n"/>
      <c r="J7" s="100" t="n"/>
      <c r="K7" s="100" t="n"/>
      <c r="L7" s="100" t="n"/>
      <c r="M7" s="100" t="n"/>
      <c r="N7" s="100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</row>
    <row r="8">
      <c r="A8" s="5" t="inlineStr">
        <is>
          <t>55-75%</t>
        </is>
      </c>
      <c r="B8" s="103" t="n">
        <v>0</v>
      </c>
      <c r="E8" s="100" t="n"/>
      <c r="F8" s="100" t="n"/>
      <c r="G8" s="100" t="n"/>
      <c r="H8" s="100" t="n"/>
      <c r="I8" s="100" t="n"/>
      <c r="J8" s="100" t="n"/>
      <c r="K8" s="100" t="n"/>
      <c r="L8" s="100" t="n"/>
      <c r="M8" s="100" t="n"/>
      <c r="N8" s="100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</row>
    <row r="9">
      <c r="A9" s="5" t="inlineStr">
        <is>
          <t>от 76%</t>
        </is>
      </c>
      <c r="B9" s="103" t="n">
        <v>0</v>
      </c>
      <c r="E9" s="100" t="n"/>
      <c r="F9" s="100" t="n"/>
      <c r="G9" s="100" t="n"/>
      <c r="H9" s="100" t="n"/>
      <c r="I9" s="100" t="n"/>
      <c r="J9" s="100" t="n"/>
      <c r="K9" s="100" t="n"/>
      <c r="L9" s="100" t="n"/>
      <c r="M9" s="100" t="n"/>
      <c r="N9" s="100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</row>
    <row r="10">
      <c r="A10" s="100" t="n"/>
      <c r="B10" s="100" t="n"/>
      <c r="C10" s="101" t="n"/>
      <c r="D10" s="100" t="n"/>
      <c r="E10" s="100" t="n"/>
      <c r="F10" s="100" t="n"/>
      <c r="G10" s="100" t="n"/>
      <c r="H10" s="100" t="n"/>
      <c r="I10" s="100" t="n"/>
      <c r="J10" s="100" t="n"/>
      <c r="K10" s="100" t="n"/>
      <c r="L10" s="100" t="n"/>
      <c r="M10" s="100" t="n"/>
      <c r="N10" s="100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</row>
    <row r="11">
      <c r="A11" s="17" t="inlineStr">
        <is>
          <t>План по выручке (Остальные мастера, без Эльвиры), на всех</t>
        </is>
      </c>
      <c r="C11" s="97" t="inlineStr">
        <is>
          <t>Сейчас</t>
        </is>
      </c>
      <c r="D11" s="102" t="inlineStr">
        <is>
          <t>Вариант 2: за продажу абонементов, косметики, депозиты. Но это сложнее считать</t>
        </is>
      </c>
      <c r="E11" s="100" t="n"/>
      <c r="F11" s="100" t="n"/>
      <c r="G11" s="100" t="n"/>
      <c r="H11" s="100" t="n"/>
      <c r="I11" s="100" t="n"/>
      <c r="J11" s="100" t="n"/>
      <c r="K11" s="100" t="n"/>
      <c r="L11" s="100" t="n"/>
      <c r="M11" s="100" t="n"/>
      <c r="N11" s="100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</row>
    <row r="12">
      <c r="A12" s="5" t="inlineStr">
        <is>
          <t>ниже 85%</t>
        </is>
      </c>
      <c r="B12" s="103" t="n">
        <v>0</v>
      </c>
      <c r="C12" s="104" t="n">
        <v>960140</v>
      </c>
      <c r="E12" s="100" t="n"/>
      <c r="F12" s="100" t="n"/>
      <c r="G12" s="100" t="n"/>
      <c r="H12" s="100" t="n"/>
      <c r="I12" s="100" t="n"/>
      <c r="J12" s="100" t="n"/>
      <c r="K12" s="100" t="n"/>
      <c r="L12" s="100" t="n"/>
      <c r="M12" s="100" t="n"/>
      <c r="N12" s="100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</row>
    <row r="13">
      <c r="A13" s="5" t="inlineStr">
        <is>
          <t>85-99%</t>
        </is>
      </c>
      <c r="B13" s="103" t="n">
        <v>10000</v>
      </c>
      <c r="E13" s="100">
        <f>B13/388</f>
        <v/>
      </c>
      <c r="F13" s="100" t="n"/>
      <c r="G13" s="100">
        <f>1000000*85%</f>
        <v/>
      </c>
      <c r="H13" s="100" t="n"/>
      <c r="I13" s="100" t="n"/>
      <c r="J13" s="100" t="n"/>
      <c r="K13" s="100" t="n"/>
      <c r="L13" s="100" t="n"/>
      <c r="M13" s="100" t="n"/>
      <c r="N13" s="100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</row>
    <row r="14">
      <c r="A14" s="5" t="inlineStr">
        <is>
          <t>100% и выше</t>
        </is>
      </c>
      <c r="B14" s="103" t="n">
        <v>26000</v>
      </c>
      <c r="E14" s="100">
        <f>B14/388</f>
        <v/>
      </c>
      <c r="F14" s="100" t="n"/>
      <c r="G14" s="2" t="n"/>
      <c r="H14" s="2" t="n"/>
      <c r="I14" s="2" t="n"/>
      <c r="J14" s="2" t="n"/>
      <c r="K14" s="2" t="n"/>
      <c r="L14" s="100" t="n"/>
      <c r="M14" s="100" t="n"/>
      <c r="N14" s="100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</row>
    <row r="15">
      <c r="A15" s="100" t="n"/>
      <c r="B15" s="100" t="n"/>
      <c r="C15" s="101" t="n"/>
      <c r="D15" s="100" t="n"/>
      <c r="E15" s="100" t="n"/>
      <c r="F15" s="100" t="n"/>
      <c r="G15" s="2" t="n"/>
      <c r="H15" s="2" t="n"/>
      <c r="I15" s="2" t="n"/>
      <c r="J15" s="2" t="n"/>
      <c r="K15" s="2" t="n"/>
      <c r="L15" s="100" t="n"/>
      <c r="M15" s="100" t="n"/>
      <c r="N15" s="100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</row>
    <row r="16">
      <c r="A16" s="17" t="inlineStr">
        <is>
          <t>Отзывы 4+ на картах (₽ за штуку, по количеству за месяц), на всех</t>
        </is>
      </c>
      <c r="C16" s="97" t="inlineStr">
        <is>
          <t>Сейчас</t>
        </is>
      </c>
      <c r="D16" s="100" t="n"/>
      <c r="E16" s="100" t="n"/>
      <c r="F16" s="100" t="n"/>
      <c r="G16" s="101" t="n"/>
      <c r="H16" s="101" t="n"/>
      <c r="I16" s="101" t="n"/>
      <c r="J16" s="101" t="n"/>
      <c r="K16" s="101" t="n"/>
      <c r="L16" s="100" t="n"/>
      <c r="M16" s="100" t="n"/>
      <c r="N16" s="100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</row>
    <row r="17">
      <c r="A17" s="5" t="inlineStr">
        <is>
          <t>до 7 шт</t>
        </is>
      </c>
      <c r="B17" s="103" t="n">
        <v>0</v>
      </c>
      <c r="C17" s="101" t="inlineStr">
        <is>
          <t>март - 1, 6
апрель - 0, 
май - 0, 3
июнь - 1, 19
июль - 4, 22
авг - 0, 4</t>
        </is>
      </c>
      <c r="D17" s="100" t="n"/>
      <c r="E17" s="100" t="n"/>
      <c r="F17" s="100" t="n"/>
      <c r="G17" s="100" t="n"/>
      <c r="H17" s="100" t="n"/>
      <c r="I17" s="100" t="n"/>
      <c r="J17" s="100" t="n"/>
      <c r="K17" s="100" t="n"/>
      <c r="L17" s="100" t="n"/>
      <c r="M17" s="100" t="n"/>
      <c r="N17" s="100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</row>
    <row r="18">
      <c r="A18" s="5" t="inlineStr">
        <is>
          <t>8-15 шт</t>
        </is>
      </c>
      <c r="B18" s="103" t="n">
        <v>0</v>
      </c>
      <c r="D18" s="103" t="n">
        <v>250</v>
      </c>
      <c r="E18" s="100" t="n"/>
      <c r="F18" s="100" t="n"/>
      <c r="G18" s="100" t="n"/>
      <c r="H18" s="100" t="n"/>
      <c r="I18" s="100" t="n"/>
      <c r="J18" s="100" t="n"/>
      <c r="K18" s="100" t="n"/>
      <c r="L18" s="100" t="n"/>
      <c r="M18" s="100" t="n"/>
      <c r="N18" s="100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>
      <c r="A19" s="5" t="inlineStr">
        <is>
          <t>от 16 шт</t>
        </is>
      </c>
      <c r="B19" s="103" t="n">
        <v>0</v>
      </c>
      <c r="D19" s="103" t="n">
        <v>300</v>
      </c>
      <c r="E19" s="100" t="n"/>
      <c r="F19" s="100" t="n"/>
      <c r="G19" s="100" t="n"/>
      <c r="H19" s="100" t="n"/>
      <c r="I19" s="100" t="n"/>
      <c r="J19" s="100" t="n"/>
      <c r="K19" s="100" t="n"/>
      <c r="L19" s="100" t="n"/>
      <c r="M19" s="100" t="n"/>
      <c r="N19" s="100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</row>
    <row r="20">
      <c r="A20" s="100" t="n"/>
      <c r="B20" s="100" t="n"/>
      <c r="C20" s="101" t="n"/>
      <c r="D20" s="100" t="n"/>
      <c r="E20" s="100" t="n"/>
      <c r="F20" s="100" t="n"/>
      <c r="G20" s="100" t="n"/>
      <c r="H20" s="100" t="n"/>
      <c r="I20" s="101" t="inlineStr">
        <is>
          <t>ср за визит</t>
        </is>
      </c>
      <c r="J20" s="101" t="inlineStr">
        <is>
          <t>сбп</t>
        </is>
      </c>
      <c r="K20" s="101" t="inlineStr">
        <is>
          <t>карта</t>
        </is>
      </c>
      <c r="L20" s="101" t="n"/>
      <c r="M20" s="2" t="n"/>
      <c r="N20" s="2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</row>
    <row r="21" ht="15.75" customHeight="1" s="134">
      <c r="A21" s="17" t="inlineStr">
        <is>
          <t>Оплата по QR-коду, ₽ за шт, отслеживание на смену</t>
        </is>
      </c>
      <c r="B21" s="103" t="n">
        <v>0</v>
      </c>
      <c r="C21" s="101" t="inlineStr">
        <is>
          <t>июнь - 20
июль - 46
Авг на 21.08 - 31</t>
        </is>
      </c>
      <c r="D21" s="102" t="inlineStr">
        <is>
          <t>Сумма маленькая, не интересно, а нам из-за низкого ср. чека, выше делать невыгодно</t>
        </is>
      </c>
      <c r="H21" s="100" t="n"/>
      <c r="I21" s="101" t="n">
        <v>7285</v>
      </c>
      <c r="J21" s="101">
        <f>I21*0.4%</f>
        <v/>
      </c>
      <c r="K21" s="101">
        <f>I21*0.9%</f>
        <v/>
      </c>
      <c r="L21" s="101">
        <f>K21-J21</f>
        <v/>
      </c>
      <c r="M21" s="2" t="n"/>
      <c r="N21" s="2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</row>
    <row r="22" ht="15.75" customHeight="1" s="134">
      <c r="A22" s="100" t="n"/>
      <c r="B22" s="100" t="n"/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 s="134">
      <c r="A23" s="100" t="n"/>
      <c r="B23" s="100" t="n"/>
      <c r="C23" s="100" t="n"/>
      <c r="D23" s="100" t="n"/>
      <c r="E23" s="100" t="n"/>
      <c r="F23" s="100" t="n"/>
      <c r="G23" s="100" t="n"/>
      <c r="H23" s="100" t="n"/>
      <c r="I23" s="100" t="n"/>
      <c r="J23" s="100" t="n"/>
      <c r="K23" s="100" t="n"/>
      <c r="L23" s="100" t="n"/>
      <c r="M23" s="100" t="n"/>
      <c r="N23" s="100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 s="134">
      <c r="A24" s="3" t="inlineStr">
        <is>
          <t>Расчёт по месяцам</t>
        </is>
      </c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 s="134">
      <c r="A25" s="47" t="inlineStr">
        <is>
          <t>Администратор</t>
        </is>
      </c>
      <c r="B25" s="47" t="inlineStr">
        <is>
          <t>Месяц</t>
        </is>
      </c>
      <c r="C25" s="47" t="inlineStr">
        <is>
          <t>Смены</t>
        </is>
      </c>
      <c r="D25" s="47" t="inlineStr">
        <is>
          <t>Фикс, ₽</t>
        </is>
      </c>
      <c r="E25" s="47" t="inlineStr">
        <is>
          <t>Загрузка специалистов, %</t>
        </is>
      </c>
      <c r="F25" s="47" t="inlineStr">
        <is>
          <t>Бонус загрузка, ₽</t>
        </is>
      </c>
      <c r="G25" s="47" t="inlineStr">
        <is>
          <t>% плана по выручке (Остальные)</t>
        </is>
      </c>
      <c r="H25" s="47" t="inlineStr">
        <is>
          <t>Бонус план, ₽</t>
        </is>
      </c>
      <c r="I25" s="47" t="inlineStr">
        <is>
          <t>Отзывы, шт</t>
        </is>
      </c>
      <c r="J25" s="47" t="inlineStr">
        <is>
          <t>Бонус отзывы, ₽</t>
        </is>
      </c>
      <c r="K25" s="47" t="inlineStr">
        <is>
          <t>QR-платежи, шт</t>
        </is>
      </c>
      <c r="L25" s="47" t="inlineStr">
        <is>
          <t>Бонус QR, ₽</t>
        </is>
      </c>
      <c r="M25" s="47" t="inlineStr">
        <is>
          <t>ИТОГО Бонус</t>
        </is>
      </c>
      <c r="N25" s="47" t="inlineStr">
        <is>
          <t>ИТОГО, ₽</t>
        </is>
      </c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 s="134">
      <c r="A26" s="5" t="inlineStr">
        <is>
          <t>Администратор 1</t>
        </is>
      </c>
      <c r="B26" s="5" t="inlineStr">
        <is>
          <t>Сентябрь</t>
        </is>
      </c>
      <c r="C26" s="106" t="n">
        <v>15</v>
      </c>
      <c r="D26" s="21">
        <f>C26*$B$4</f>
        <v/>
      </c>
      <c r="E26" s="148" t="n">
        <v>0.6</v>
      </c>
      <c r="F26" s="21">
        <f>IF(E26&lt;0.55,$B$7,IF(E26&lt;=0.75,$B$8,$B$9))/2</f>
        <v/>
      </c>
      <c r="G26" s="148" t="n">
        <v>0.87</v>
      </c>
      <c r="H26" s="21">
        <f>IF(G26&lt;0.85,$B$12,IF(G26&lt;1,$B$13,$B$14))/2</f>
        <v/>
      </c>
      <c r="I26" s="113" t="n">
        <v>10</v>
      </c>
      <c r="J26" s="21">
        <f>IF(I26="",0,I26*IF(I26&lt;8,$B$17,IF(I26&lt;=15,$B$18,$B$19)))/2</f>
        <v/>
      </c>
      <c r="K26" s="108" t="n">
        <v>25</v>
      </c>
      <c r="L26" s="21">
        <f>IF(K26="",0,K26*$B$21)</f>
        <v/>
      </c>
      <c r="M26" s="18">
        <f>F26+H26+J26+L26</f>
        <v/>
      </c>
      <c r="N26" s="18">
        <f>D26+F26+H26+J26+L26</f>
        <v/>
      </c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</row>
    <row r="27" ht="15.75" customHeight="1" s="134">
      <c r="A27" s="109" t="inlineStr">
        <is>
          <t>Администратор 2</t>
        </is>
      </c>
      <c r="B27" s="109" t="inlineStr">
        <is>
          <t>Сентябрь</t>
        </is>
      </c>
      <c r="C27" s="110" t="n">
        <v>15</v>
      </c>
      <c r="D27" s="111">
        <f>C27*$B$4</f>
        <v/>
      </c>
      <c r="E27" s="149" t="n"/>
      <c r="F27" s="111">
        <f>IF(E26&lt;0.55,$B$7,IF(E26&lt;=0.75,$B$8,$B$9))/2</f>
        <v/>
      </c>
      <c r="G27" s="149" t="n"/>
      <c r="H27" s="111">
        <f>IF(G26&lt;0.85,$B$12,IF(G26&lt;1,$B$13,$B$14))/2</f>
        <v/>
      </c>
      <c r="I27" s="149" t="n"/>
      <c r="J27" s="111">
        <f>IF(I26="",0,I26*IF(I26&lt;8,$B$17,IF(I26&lt;=15,$B$18,$B$19)))/2</f>
        <v/>
      </c>
      <c r="K27" s="113" t="n">
        <v>15</v>
      </c>
      <c r="L27" s="111">
        <f>IF(K27="",0,K27*$B$21)</f>
        <v/>
      </c>
      <c r="M27" s="18">
        <f>F27+H27+J27+L27</f>
        <v/>
      </c>
      <c r="N27" s="114">
        <f>D27+F27+H27+J27+L27</f>
        <v/>
      </c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 s="134">
      <c r="A28" s="5" t="inlineStr">
        <is>
          <t>Администратор 1</t>
        </is>
      </c>
      <c r="B28" s="5" t="inlineStr">
        <is>
          <t>Октябрь</t>
        </is>
      </c>
      <c r="C28" s="106" t="n">
        <v>15</v>
      </c>
      <c r="D28" s="21">
        <f>C28*$B$4</f>
        <v/>
      </c>
      <c r="E28" s="148" t="n">
        <v>0.6</v>
      </c>
      <c r="F28" s="21">
        <f>IF(E28&lt;0.55,$B$7,IF(E28&lt;=0.75,$B$8,$B$9))/2</f>
        <v/>
      </c>
      <c r="G28" s="148" t="n">
        <v>1</v>
      </c>
      <c r="H28" s="21">
        <f>IF(G28&lt;0.85,$B$12,IF(G28&lt;1,$B$13,$B$14))/2</f>
        <v/>
      </c>
      <c r="I28" s="113" t="n">
        <v>10</v>
      </c>
      <c r="J28" s="21">
        <f>IF(I28="",0,I28*IF(I28&lt;8,$B$17,IF(I28&lt;=15,$B$18,$B$19)))/2</f>
        <v/>
      </c>
      <c r="K28" s="108" t="n">
        <v>17</v>
      </c>
      <c r="L28" s="21">
        <f>IF(K28="",0,K28*$B$21)</f>
        <v/>
      </c>
      <c r="M28" s="115">
        <f>F28+H28+J28+L28</f>
        <v/>
      </c>
      <c r="N28" s="18">
        <f>D28+F28+H28+J28+L28</f>
        <v/>
      </c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 s="134">
      <c r="A29" s="109" t="inlineStr">
        <is>
          <t>Администратор 2</t>
        </is>
      </c>
      <c r="B29" s="109" t="inlineStr">
        <is>
          <t>Октябрь</t>
        </is>
      </c>
      <c r="C29" s="110" t="n">
        <v>16</v>
      </c>
      <c r="D29" s="111">
        <f>C29*$B$4</f>
        <v/>
      </c>
      <c r="E29" s="149" t="n"/>
      <c r="F29" s="111">
        <f>IF(E28&lt;0.55,$B$7,IF(E28&lt;=0.75,$B$8,$B$9))/2</f>
        <v/>
      </c>
      <c r="G29" s="149" t="n"/>
      <c r="H29" s="111">
        <f>IF(G28&lt;0.85,$B$12,IF(G28&lt;1,$B$13,$B$14))/2</f>
        <v/>
      </c>
      <c r="I29" s="149" t="n"/>
      <c r="J29" s="111">
        <f>IF(I28="",0,I28*IF(I28&lt;8,$B$17,IF(I28&lt;=15,$B$18,$B$19)))/2</f>
        <v/>
      </c>
      <c r="K29" s="113">
        <f>45-K28</f>
        <v/>
      </c>
      <c r="L29" s="111">
        <f>IF(K29="",0,K29*$B$21)</f>
        <v/>
      </c>
      <c r="M29" s="114">
        <f>F29+H29+J29+L29</f>
        <v/>
      </c>
      <c r="N29" s="114">
        <f>D29+F29+H29+J29+L29</f>
        <v/>
      </c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 s="134">
      <c r="A30" s="5" t="inlineStr">
        <is>
          <t>Администратор 1</t>
        </is>
      </c>
      <c r="B30" s="5" t="inlineStr">
        <is>
          <t>Ноябрь</t>
        </is>
      </c>
      <c r="C30" s="106" t="n">
        <v>15</v>
      </c>
      <c r="D30" s="21">
        <f>C30*$B$4</f>
        <v/>
      </c>
      <c r="E30" s="148" t="n">
        <v>0.77</v>
      </c>
      <c r="F30" s="21">
        <f>IF(E30&lt;0.55,$B$7,IF(E30&lt;=0.75,$B$8,$B$9))/2</f>
        <v/>
      </c>
      <c r="G30" s="148" t="n">
        <v>1.05</v>
      </c>
      <c r="H30" s="21">
        <f>IF(G30&lt;0.85,$B$12,IF(G30&lt;1,$B$13,$B$14))/2</f>
        <v/>
      </c>
      <c r="I30" s="113" t="n">
        <v>20</v>
      </c>
      <c r="J30" s="21">
        <f>IF(I30="",0,I30*IF(I30&lt;8,$B$17,IF(I30&lt;=15,$B$18,$B$19)))/2</f>
        <v/>
      </c>
      <c r="K30" s="108" t="n">
        <v>25</v>
      </c>
      <c r="L30" s="21">
        <f>IF(K30="",0,K30*$B$21)</f>
        <v/>
      </c>
      <c r="M30" s="18">
        <f>F30+H30+J30+L30</f>
        <v/>
      </c>
      <c r="N30" s="18">
        <f>D30+F30+H30+J30+L30</f>
        <v/>
      </c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 s="134">
      <c r="A31" s="109" t="inlineStr">
        <is>
          <t>Администратор 2</t>
        </is>
      </c>
      <c r="B31" s="109" t="inlineStr">
        <is>
          <t>Ноябрь</t>
        </is>
      </c>
      <c r="C31" s="110" t="n">
        <v>15</v>
      </c>
      <c r="D31" s="111">
        <f>C31*$B$4</f>
        <v/>
      </c>
      <c r="E31" s="149" t="n"/>
      <c r="F31" s="111">
        <f>IF(E30&lt;0.55,$B$7,IF(E30&lt;=0.75,$B$8,$B$9))/2</f>
        <v/>
      </c>
      <c r="G31" s="149" t="n"/>
      <c r="H31" s="111">
        <f>IF(G30&lt;0.85,$B$12,IF(G30&lt;1,$B$13,$B$14))/2</f>
        <v/>
      </c>
      <c r="I31" s="149" t="n"/>
      <c r="J31" s="111">
        <f>IF(I30="",0,I30*IF(I30&lt;8,$B$17,IF(I30&lt;=15,$B$18,$B$19)))/2</f>
        <v/>
      </c>
      <c r="K31" s="113" t="n">
        <v>25</v>
      </c>
      <c r="L31" s="111">
        <f>IF(K31="",0,K31*$B$21)</f>
        <v/>
      </c>
      <c r="M31" s="18">
        <f>F31+H31+J31+L31</f>
        <v/>
      </c>
      <c r="N31" s="114">
        <f>D31+F31+H31+J31+L31</f>
        <v/>
      </c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 s="134">
      <c r="A32" s="5" t="inlineStr">
        <is>
          <t>Администратор 1</t>
        </is>
      </c>
      <c r="B32" s="5" t="inlineStr">
        <is>
          <t>Декабрь</t>
        </is>
      </c>
      <c r="C32" s="106" t="n">
        <v>15</v>
      </c>
      <c r="D32" s="21">
        <f>C32*$B$4</f>
        <v/>
      </c>
      <c r="E32" s="148" t="n">
        <v>0.77</v>
      </c>
      <c r="F32" s="21">
        <f>IF(E32&lt;0.55,$B$7,IF(E32&lt;=0.75,$B$8,$B$9))/2</f>
        <v/>
      </c>
      <c r="G32" s="148" t="n">
        <v>1.05</v>
      </c>
      <c r="H32" s="21">
        <f>IF(G32&lt;0.85,$B$12,IF(G32&lt;1,$B$13,$B$14))/2</f>
        <v/>
      </c>
      <c r="I32" s="113" t="n">
        <v>20</v>
      </c>
      <c r="J32" s="21">
        <f>IF(I32="",0,I32*IF(I32&lt;8,$B$17,IF(I32&lt;=15,$B$18,$B$19)))/2</f>
        <v/>
      </c>
      <c r="K32" s="108" t="n">
        <v>30</v>
      </c>
      <c r="L32" s="21">
        <f>IF(K32="",0,K32*$B$21)</f>
        <v/>
      </c>
      <c r="M32" s="115">
        <f>F32+H32+J32+L32</f>
        <v/>
      </c>
      <c r="N32" s="18">
        <f>D32+F32+H32+J32+L32</f>
        <v/>
      </c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 s="134">
      <c r="A33" s="109" t="inlineStr">
        <is>
          <t>Администратор 2</t>
        </is>
      </c>
      <c r="B33" s="109" t="inlineStr">
        <is>
          <t>Декабрь</t>
        </is>
      </c>
      <c r="C33" s="110" t="n">
        <v>15</v>
      </c>
      <c r="D33" s="111">
        <f>C33*$B$4</f>
        <v/>
      </c>
      <c r="E33" s="149" t="n"/>
      <c r="F33" s="111">
        <f>IF(E32&lt;0.55,$B$7,IF(E32&lt;=0.75,$B$8,$B$9))/2</f>
        <v/>
      </c>
      <c r="G33" s="149" t="n"/>
      <c r="H33" s="111">
        <f>IF(G32&lt;0.85,$B$12,IF(G32&lt;1,$B$13,$B$14))/2</f>
        <v/>
      </c>
      <c r="I33" s="149" t="n"/>
      <c r="J33" s="111">
        <f>IF(I32="",0,I32*IF(I32&lt;8,$B$17,IF(I32&lt;=15,$B$18,$B$19)))/2</f>
        <v/>
      </c>
      <c r="K33" s="113" t="n">
        <v>30</v>
      </c>
      <c r="L33" s="111">
        <f>IF(K33="",0,K33*$B$21)</f>
        <v/>
      </c>
      <c r="M33" s="114">
        <f>F33+H33+J33+L33</f>
        <v/>
      </c>
      <c r="N33" s="114">
        <f>D33+F33+H33+J33+L33</f>
        <v/>
      </c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60" customHeight="1" s="134">
      <c r="A34" s="23" t="inlineStr">
        <is>
          <t>«Загрузка специалистов» и «% плана по выручке» — общеклиничные показатели за месяц (одинаковы для обоих администраторов в один месяц, не считаю раздельно по сменам, потому что загрузка/выручка не разбита по тому, кто в этот день на смене). Загрузка = реально отработанные часы (статус «Пришёл») / открытые по расписанию часы, по всем мастерам вместе. Из-за известного расхождения по Эльвире (её факт расписания шире, чем видит API) цифра может быть немного занижена — если заметишь явно нелогичный % в какой-то месяц, скажи, пересчитаю аккуratнее.</t>
        </is>
      </c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18">
        <f>F34+H34+J34+L34</f>
        <v/>
      </c>
      <c r="N34" s="23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 s="134">
      <c r="A35" s="100" t="n"/>
      <c r="B35" s="100" t="n"/>
      <c r="C35" s="100" t="n"/>
      <c r="D35" s="100" t="n"/>
      <c r="E35" s="100" t="n"/>
      <c r="F35" s="100" t="n"/>
      <c r="G35" s="100" t="n"/>
      <c r="H35" s="100" t="n"/>
      <c r="I35" s="100" t="n"/>
      <c r="J35" s="100" t="n"/>
      <c r="K35" s="100" t="n"/>
      <c r="L35" s="100" t="n"/>
      <c r="M35" s="100" t="n"/>
      <c r="N35" s="100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45" customHeight="1" s="134">
      <c r="A36" s="23" t="inlineStr">
        <is>
          <t>«План по выручке» = факт выручки «Остальных» мастеров (без Эльвиры) / база 960 140 ₽ (среднее июнь-июль) — с сентября план начинает расти на 10%/мес по модели, тогда эта база уже не будет константой, а будет браться с листа «ПРОГНОЗ»/плана — скажи, когда дойдём до сентября, пересчитаю на актуальный план того месяца.</t>
        </is>
      </c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 s="134">
      <c r="A37" s="100" t="n"/>
      <c r="B37" s="100" t="n"/>
      <c r="C37" s="100" t="n"/>
      <c r="D37" s="100" t="n"/>
      <c r="E37" s="100" t="n"/>
      <c r="F37" s="100" t="n"/>
      <c r="G37" s="100" t="n"/>
      <c r="H37" s="100" t="n"/>
      <c r="I37" s="100" t="n"/>
      <c r="J37" s="100" t="n"/>
      <c r="K37" s="100" t="n"/>
      <c r="L37" s="100" t="n"/>
      <c r="M37" s="100" t="n"/>
      <c r="N37" s="100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</row>
    <row r="38" ht="15.75" customHeight="1" s="134">
      <c r="A38" s="23" t="inlineStr">
        <is>
          <t>Жёлтые ячейки — впиши: смены, кол-во отзывов, кол-во QR-платежей на каждого администратора по месяцам.</t>
        </is>
      </c>
      <c r="B38" s="100" t="n"/>
      <c r="C38" s="100" t="n"/>
      <c r="D38" s="100" t="n"/>
      <c r="E38" s="100" t="n"/>
      <c r="F38" s="100" t="n"/>
      <c r="G38" s="100" t="n"/>
      <c r="H38" s="100" t="n"/>
      <c r="I38" s="100" t="n"/>
      <c r="J38" s="100" t="n"/>
      <c r="K38" s="100" t="n"/>
      <c r="L38" s="100" t="n"/>
      <c r="M38" s="100" t="n"/>
      <c r="N38" s="100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 s="134">
      <c r="A39" s="100" t="n"/>
      <c r="B39" s="100" t="n"/>
      <c r="C39" s="100" t="n"/>
      <c r="D39" s="100" t="n"/>
      <c r="E39" s="100" t="n"/>
      <c r="F39" s="100" t="n"/>
      <c r="G39" s="100" t="n"/>
      <c r="H39" s="100" t="n"/>
      <c r="I39" s="100" t="n"/>
      <c r="J39" s="100" t="n"/>
      <c r="K39" s="100" t="n"/>
      <c r="L39" s="100" t="n"/>
      <c r="M39" s="100" t="n"/>
      <c r="N39" s="100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</row>
    <row r="40" ht="15.75" customHeight="1" s="134">
      <c r="A40" s="100" t="n"/>
      <c r="B40" s="100" t="n"/>
      <c r="C40" s="100" t="n"/>
      <c r="D40" s="100" t="n"/>
      <c r="E40" s="100" t="n"/>
      <c r="F40" s="100" t="n"/>
      <c r="G40" s="100" t="n"/>
      <c r="H40" s="100" t="n"/>
      <c r="I40" s="100" t="n"/>
      <c r="J40" s="100" t="n"/>
      <c r="K40" s="100" t="n"/>
      <c r="L40" s="100" t="n"/>
      <c r="M40" s="100" t="n"/>
      <c r="N40" s="100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 s="134">
      <c r="A41" s="100" t="n"/>
      <c r="B41" s="100" t="n"/>
      <c r="C41" s="100" t="n"/>
      <c r="D41" s="100" t="n"/>
      <c r="E41" s="100" t="n"/>
      <c r="F41" s="100" t="n"/>
      <c r="G41" s="100" t="n"/>
      <c r="H41" s="100" t="n"/>
      <c r="I41" s="100" t="n"/>
      <c r="J41" s="100" t="n"/>
      <c r="K41" s="100" t="n"/>
      <c r="L41" s="100" t="n"/>
      <c r="M41" s="100" t="n"/>
      <c r="N41" s="100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 s="134">
      <c r="A42" s="100" t="n"/>
      <c r="B42" s="100" t="n"/>
      <c r="C42" s="100" t="n"/>
      <c r="D42" s="100" t="n"/>
      <c r="E42" s="100" t="n"/>
      <c r="F42" s="100" t="n"/>
      <c r="G42" s="100" t="n"/>
      <c r="H42" s="100" t="n"/>
      <c r="I42" s="100" t="n"/>
      <c r="J42" s="100" t="n"/>
      <c r="K42" s="100" t="n"/>
      <c r="L42" s="100" t="n"/>
      <c r="M42" s="100" t="n"/>
      <c r="N42" s="100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 s="134">
      <c r="A43" s="100" t="n"/>
      <c r="B43" s="100" t="n"/>
      <c r="C43" s="100" t="n"/>
      <c r="D43" s="100" t="n"/>
      <c r="E43" s="100" t="n"/>
      <c r="F43" s="100" t="n"/>
      <c r="G43" s="100" t="n"/>
      <c r="H43" s="100" t="n"/>
      <c r="I43" s="100" t="n"/>
      <c r="J43" s="100" t="n"/>
      <c r="K43" s="100" t="n"/>
      <c r="L43" s="100" t="n"/>
      <c r="M43" s="100" t="n"/>
      <c r="N43" s="100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 s="134">
      <c r="A44" s="100" t="n"/>
      <c r="B44" s="100" t="n"/>
      <c r="C44" s="100" t="n"/>
      <c r="D44" s="100" t="n"/>
      <c r="E44" s="100" t="n"/>
      <c r="F44" s="100" t="n"/>
      <c r="G44" s="100" t="n"/>
      <c r="H44" s="100" t="n"/>
      <c r="I44" s="100" t="n"/>
      <c r="J44" s="100" t="n"/>
      <c r="K44" s="100" t="n"/>
      <c r="L44" s="100" t="n"/>
      <c r="M44" s="100" t="n"/>
      <c r="N44" s="100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 s="134">
      <c r="A45" s="100" t="n"/>
      <c r="B45" s="100" t="n"/>
      <c r="C45" s="100" t="n"/>
      <c r="D45" s="100" t="n"/>
      <c r="E45" s="100" t="n"/>
      <c r="F45" s="100" t="n"/>
      <c r="G45" s="100" t="n"/>
      <c r="H45" s="100" t="n"/>
      <c r="I45" s="100" t="n"/>
      <c r="J45" s="100" t="n"/>
      <c r="K45" s="100" t="n"/>
      <c r="L45" s="100" t="n"/>
      <c r="M45" s="100" t="n"/>
      <c r="N45" s="100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 s="134">
      <c r="A46" s="100" t="n"/>
      <c r="B46" s="100" t="n"/>
      <c r="C46" s="100" t="n"/>
      <c r="D46" s="100" t="n"/>
      <c r="E46" s="100" t="n"/>
      <c r="F46" s="100" t="n"/>
      <c r="G46" s="100" t="n"/>
      <c r="H46" s="100" t="n"/>
      <c r="I46" s="100" t="n"/>
      <c r="J46" s="100" t="n"/>
      <c r="K46" s="100" t="n"/>
      <c r="L46" s="100" t="n"/>
      <c r="M46" s="100" t="n"/>
      <c r="N46" s="100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 s="134">
      <c r="A47" s="100" t="n"/>
      <c r="B47" s="100" t="n"/>
      <c r="C47" s="100" t="n"/>
      <c r="D47" s="100" t="n"/>
      <c r="E47" s="100" t="n"/>
      <c r="F47" s="100" t="n"/>
      <c r="G47" s="100" t="n"/>
      <c r="H47" s="100" t="n"/>
      <c r="I47" s="100" t="n"/>
      <c r="J47" s="100" t="n"/>
      <c r="K47" s="100" t="n"/>
      <c r="L47" s="100" t="n"/>
      <c r="M47" s="100" t="n"/>
      <c r="N47" s="100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 s="134">
      <c r="A48" s="100" t="n"/>
      <c r="B48" s="100" t="n"/>
      <c r="C48" s="100" t="n"/>
      <c r="D48" s="100" t="n"/>
      <c r="E48" s="100" t="n"/>
      <c r="F48" s="100" t="n"/>
      <c r="G48" s="100" t="n"/>
      <c r="H48" s="100" t="n"/>
      <c r="I48" s="100" t="n"/>
      <c r="J48" s="100" t="n"/>
      <c r="K48" s="100" t="n"/>
      <c r="L48" s="100" t="n"/>
      <c r="M48" s="100" t="n"/>
      <c r="N48" s="100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 s="134">
      <c r="A49" s="100" t="n"/>
      <c r="B49" s="100" t="n"/>
      <c r="C49" s="100" t="n"/>
      <c r="D49" s="100" t="n"/>
      <c r="E49" s="100" t="n"/>
      <c r="F49" s="100" t="n"/>
      <c r="G49" s="100" t="n"/>
      <c r="H49" s="100" t="n"/>
      <c r="I49" s="100" t="n"/>
      <c r="J49" s="100" t="n"/>
      <c r="K49" s="100" t="n"/>
      <c r="L49" s="100" t="n"/>
      <c r="M49" s="100" t="n"/>
      <c r="N49" s="100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</row>
    <row r="50" ht="15.75" customHeight="1" s="134">
      <c r="A50" s="100" t="n"/>
      <c r="B50" s="100" t="n"/>
      <c r="C50" s="100" t="n"/>
      <c r="D50" s="100" t="n"/>
      <c r="E50" s="100" t="n"/>
      <c r="F50" s="100" t="n"/>
      <c r="G50" s="100" t="n"/>
      <c r="H50" s="100" t="n"/>
      <c r="I50" s="100" t="n"/>
      <c r="J50" s="100" t="n"/>
      <c r="K50" s="100" t="n"/>
      <c r="L50" s="100" t="n"/>
      <c r="M50" s="100" t="n"/>
      <c r="N50" s="100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 s="134">
      <c r="A51" s="100" t="n"/>
      <c r="B51" s="100" t="n"/>
      <c r="C51" s="100" t="n"/>
      <c r="D51" s="100" t="n"/>
      <c r="E51" s="100" t="n"/>
      <c r="F51" s="100" t="n"/>
      <c r="G51" s="100" t="n"/>
      <c r="H51" s="100" t="n"/>
      <c r="I51" s="100" t="n"/>
      <c r="J51" s="100" t="n"/>
      <c r="K51" s="100" t="n"/>
      <c r="L51" s="100" t="n"/>
      <c r="M51" s="100" t="n"/>
      <c r="N51" s="100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</row>
    <row r="52" ht="15.75" customHeight="1" s="134">
      <c r="A52" s="100" t="n"/>
      <c r="B52" s="100" t="n"/>
      <c r="C52" s="100" t="n"/>
      <c r="D52" s="100" t="n"/>
      <c r="E52" s="100" t="n"/>
      <c r="F52" s="100" t="n"/>
      <c r="G52" s="100" t="n"/>
      <c r="H52" s="100" t="n"/>
      <c r="I52" s="100" t="n"/>
      <c r="J52" s="100" t="n"/>
      <c r="K52" s="100" t="n"/>
      <c r="L52" s="100" t="n"/>
      <c r="M52" s="100" t="n"/>
      <c r="N52" s="100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 s="134">
      <c r="A53" s="100" t="n"/>
      <c r="B53" s="100" t="n"/>
      <c r="C53" s="100" t="n"/>
      <c r="D53" s="100" t="n"/>
      <c r="E53" s="100" t="n"/>
      <c r="F53" s="100" t="n"/>
      <c r="G53" s="100" t="n"/>
      <c r="H53" s="100" t="n"/>
      <c r="I53" s="100" t="n"/>
      <c r="J53" s="100" t="n"/>
      <c r="K53" s="100" t="n"/>
      <c r="L53" s="100" t="n"/>
      <c r="M53" s="100" t="n"/>
      <c r="N53" s="100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 s="134">
      <c r="A54" s="100" t="n"/>
      <c r="B54" s="100" t="n"/>
      <c r="C54" s="100" t="n"/>
      <c r="D54" s="100" t="n"/>
      <c r="E54" s="100" t="n"/>
      <c r="F54" s="100" t="n"/>
      <c r="G54" s="100" t="n"/>
      <c r="H54" s="100" t="n"/>
      <c r="I54" s="100" t="n"/>
      <c r="J54" s="100" t="n"/>
      <c r="K54" s="100" t="n"/>
      <c r="L54" s="100" t="n"/>
      <c r="M54" s="100" t="n"/>
      <c r="N54" s="100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</row>
    <row r="55" ht="15.75" customHeight="1" s="134">
      <c r="A55" s="100" t="n"/>
      <c r="B55" s="100" t="n"/>
      <c r="C55" s="100" t="n"/>
      <c r="D55" s="100" t="n"/>
      <c r="E55" s="100" t="n"/>
      <c r="F55" s="100" t="n"/>
      <c r="G55" s="100" t="n"/>
      <c r="H55" s="100" t="n"/>
      <c r="I55" s="100" t="n"/>
      <c r="J55" s="100" t="n"/>
      <c r="K55" s="100" t="n"/>
      <c r="L55" s="100" t="n"/>
      <c r="M55" s="100" t="n"/>
      <c r="N55" s="100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 s="134">
      <c r="A56" s="100" t="n"/>
      <c r="B56" s="100" t="n"/>
      <c r="C56" s="100" t="n"/>
      <c r="D56" s="100" t="n"/>
      <c r="E56" s="100" t="n"/>
      <c r="F56" s="100" t="n"/>
      <c r="G56" s="100" t="n"/>
      <c r="H56" s="100" t="n"/>
      <c r="I56" s="100" t="n"/>
      <c r="J56" s="100" t="n"/>
      <c r="K56" s="100" t="n"/>
      <c r="L56" s="100" t="n"/>
      <c r="M56" s="100" t="n"/>
      <c r="N56" s="100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 ht="15.75" customHeight="1" s="134">
      <c r="A57" s="100" t="n"/>
      <c r="B57" s="100" t="n"/>
      <c r="C57" s="100" t="n"/>
      <c r="D57" s="100" t="n"/>
      <c r="E57" s="100" t="n"/>
      <c r="F57" s="100" t="n"/>
      <c r="G57" s="100" t="n"/>
      <c r="H57" s="100" t="n"/>
      <c r="I57" s="100" t="n"/>
      <c r="J57" s="100" t="n"/>
      <c r="K57" s="100" t="n"/>
      <c r="L57" s="100" t="n"/>
      <c r="M57" s="100" t="n"/>
      <c r="N57" s="100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</row>
    <row r="58" ht="15.75" customHeight="1" s="134">
      <c r="A58" s="100" t="n"/>
      <c r="B58" s="100" t="n"/>
      <c r="C58" s="100" t="n"/>
      <c r="D58" s="100" t="n"/>
      <c r="E58" s="100" t="n"/>
      <c r="F58" s="100" t="n"/>
      <c r="G58" s="100" t="n"/>
      <c r="H58" s="100" t="n"/>
      <c r="I58" s="100" t="n"/>
      <c r="J58" s="100" t="n"/>
      <c r="K58" s="100" t="n"/>
      <c r="L58" s="100" t="n"/>
      <c r="M58" s="100" t="n"/>
      <c r="N58" s="100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 s="134">
      <c r="A59" s="100" t="n"/>
      <c r="B59" s="100" t="n"/>
      <c r="C59" s="100" t="n"/>
      <c r="D59" s="100" t="n"/>
      <c r="E59" s="100" t="n"/>
      <c r="F59" s="100" t="n"/>
      <c r="G59" s="100" t="n"/>
      <c r="H59" s="100" t="n"/>
      <c r="I59" s="100" t="n"/>
      <c r="J59" s="100" t="n"/>
      <c r="K59" s="100" t="n"/>
      <c r="L59" s="100" t="n"/>
      <c r="M59" s="100" t="n"/>
      <c r="N59" s="100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5.75" customHeight="1" s="134">
      <c r="A60" s="100" t="n"/>
      <c r="B60" s="100" t="n"/>
      <c r="C60" s="100" t="n"/>
      <c r="D60" s="100" t="n"/>
      <c r="E60" s="100" t="n"/>
      <c r="F60" s="100" t="n"/>
      <c r="G60" s="100" t="n"/>
      <c r="H60" s="100" t="n"/>
      <c r="I60" s="100" t="n"/>
      <c r="J60" s="100" t="n"/>
      <c r="K60" s="100" t="n"/>
      <c r="L60" s="100" t="n"/>
      <c r="M60" s="100" t="n"/>
      <c r="N60" s="100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 s="134">
      <c r="A61" s="100" t="n"/>
      <c r="B61" s="100" t="n"/>
      <c r="C61" s="100" t="n"/>
      <c r="D61" s="100" t="n"/>
      <c r="E61" s="100" t="n"/>
      <c r="F61" s="100" t="n"/>
      <c r="G61" s="100" t="n"/>
      <c r="H61" s="100" t="n"/>
      <c r="I61" s="100" t="n"/>
      <c r="J61" s="100" t="n"/>
      <c r="K61" s="100" t="n"/>
      <c r="L61" s="100" t="n"/>
      <c r="M61" s="100" t="n"/>
      <c r="N61" s="100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 s="134">
      <c r="A62" s="100" t="n"/>
      <c r="B62" s="100" t="n"/>
      <c r="C62" s="100" t="n"/>
      <c r="D62" s="100" t="n"/>
      <c r="E62" s="100" t="n"/>
      <c r="F62" s="100" t="n"/>
      <c r="G62" s="100" t="n"/>
      <c r="H62" s="100" t="n"/>
      <c r="I62" s="100" t="n"/>
      <c r="J62" s="100" t="n"/>
      <c r="K62" s="100" t="n"/>
      <c r="L62" s="100" t="n"/>
      <c r="M62" s="100" t="n"/>
      <c r="N62" s="100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 ht="15.75" customHeight="1" s="134">
      <c r="A63" s="100" t="n"/>
      <c r="B63" s="100" t="n"/>
      <c r="C63" s="100" t="n"/>
      <c r="D63" s="100" t="n"/>
      <c r="E63" s="100" t="n"/>
      <c r="F63" s="100" t="n"/>
      <c r="G63" s="100" t="n"/>
      <c r="H63" s="100" t="n"/>
      <c r="I63" s="100" t="n"/>
      <c r="J63" s="100" t="n"/>
      <c r="K63" s="100" t="n"/>
      <c r="L63" s="100" t="n"/>
      <c r="M63" s="100" t="n"/>
      <c r="N63" s="100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5.75" customHeight="1" s="134">
      <c r="A64" s="100" t="n"/>
      <c r="B64" s="100" t="n"/>
      <c r="C64" s="100" t="n"/>
      <c r="D64" s="100" t="n"/>
      <c r="E64" s="100" t="n"/>
      <c r="F64" s="100" t="n"/>
      <c r="G64" s="100" t="n"/>
      <c r="H64" s="100" t="n"/>
      <c r="I64" s="100" t="n"/>
      <c r="J64" s="100" t="n"/>
      <c r="K64" s="100" t="n"/>
      <c r="L64" s="100" t="n"/>
      <c r="M64" s="100" t="n"/>
      <c r="N64" s="100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5.75" customHeight="1" s="134">
      <c r="A65" s="100" t="n"/>
      <c r="B65" s="100" t="n"/>
      <c r="C65" s="100" t="n"/>
      <c r="D65" s="100" t="n"/>
      <c r="E65" s="100" t="n"/>
      <c r="F65" s="100" t="n"/>
      <c r="G65" s="100" t="n"/>
      <c r="H65" s="100" t="n"/>
      <c r="I65" s="100" t="n"/>
      <c r="J65" s="100" t="n"/>
      <c r="K65" s="100" t="n"/>
      <c r="L65" s="100" t="n"/>
      <c r="M65" s="100" t="n"/>
      <c r="N65" s="100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5.75" customHeight="1" s="134">
      <c r="A66" s="100" t="n"/>
      <c r="B66" s="100" t="n"/>
      <c r="C66" s="100" t="n"/>
      <c r="D66" s="100" t="n"/>
      <c r="E66" s="100" t="n"/>
      <c r="F66" s="100" t="n"/>
      <c r="G66" s="100" t="n"/>
      <c r="H66" s="100" t="n"/>
      <c r="I66" s="100" t="n"/>
      <c r="J66" s="100" t="n"/>
      <c r="K66" s="100" t="n"/>
      <c r="L66" s="100" t="n"/>
      <c r="M66" s="100" t="n"/>
      <c r="N66" s="100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5.75" customHeight="1" s="134">
      <c r="A67" s="100" t="n"/>
      <c r="B67" s="100" t="n"/>
      <c r="C67" s="100" t="n"/>
      <c r="D67" s="100" t="n"/>
      <c r="E67" s="100" t="n"/>
      <c r="F67" s="100" t="n"/>
      <c r="G67" s="100" t="n"/>
      <c r="H67" s="100" t="n"/>
      <c r="I67" s="100" t="n"/>
      <c r="J67" s="100" t="n"/>
      <c r="K67" s="100" t="n"/>
      <c r="L67" s="100" t="n"/>
      <c r="M67" s="100" t="n"/>
      <c r="N67" s="100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5.75" customHeight="1" s="134">
      <c r="A68" s="100" t="n"/>
      <c r="B68" s="100" t="n"/>
      <c r="C68" s="100" t="n"/>
      <c r="D68" s="100" t="n"/>
      <c r="E68" s="100" t="n"/>
      <c r="F68" s="100" t="n"/>
      <c r="G68" s="100" t="n"/>
      <c r="H68" s="100" t="n"/>
      <c r="I68" s="100" t="n"/>
      <c r="J68" s="100" t="n"/>
      <c r="K68" s="100" t="n"/>
      <c r="L68" s="100" t="n"/>
      <c r="M68" s="100" t="n"/>
      <c r="N68" s="100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5.75" customHeight="1" s="134">
      <c r="A69" s="100" t="n"/>
      <c r="B69" s="100" t="n"/>
      <c r="C69" s="100" t="n"/>
      <c r="D69" s="100" t="n"/>
      <c r="E69" s="100" t="n"/>
      <c r="F69" s="100" t="n"/>
      <c r="G69" s="100" t="n"/>
      <c r="H69" s="100" t="n"/>
      <c r="I69" s="100" t="n"/>
      <c r="J69" s="100" t="n"/>
      <c r="K69" s="100" t="n"/>
      <c r="L69" s="100" t="n"/>
      <c r="M69" s="100" t="n"/>
      <c r="N69" s="100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5.75" customHeight="1" s="134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  <c r="J70" s="100" t="n"/>
      <c r="K70" s="100" t="n"/>
      <c r="L70" s="100" t="n"/>
      <c r="M70" s="100" t="n"/>
      <c r="N70" s="100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5.75" customHeight="1" s="134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  <c r="J71" s="100" t="n"/>
      <c r="K71" s="100" t="n"/>
      <c r="L71" s="100" t="n"/>
      <c r="M71" s="100" t="n"/>
      <c r="N71" s="100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5.75" customHeight="1" s="134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  <c r="J72" s="100" t="n"/>
      <c r="K72" s="100" t="n"/>
      <c r="L72" s="100" t="n"/>
      <c r="M72" s="100" t="n"/>
      <c r="N72" s="100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5.75" customHeight="1" s="134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  <c r="J73" s="100" t="n"/>
      <c r="K73" s="100" t="n"/>
      <c r="L73" s="100" t="n"/>
      <c r="M73" s="100" t="n"/>
      <c r="N73" s="100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5.75" customHeight="1" s="134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  <c r="J74" s="100" t="n"/>
      <c r="K74" s="100" t="n"/>
      <c r="L74" s="100" t="n"/>
      <c r="M74" s="100" t="n"/>
      <c r="N74" s="100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5.75" customHeight="1" s="134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  <c r="J75" s="100" t="n"/>
      <c r="K75" s="100" t="n"/>
      <c r="L75" s="100" t="n"/>
      <c r="M75" s="100" t="n"/>
      <c r="N75" s="100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5.75" customHeight="1" s="134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  <c r="J76" s="100" t="n"/>
      <c r="K76" s="100" t="n"/>
      <c r="L76" s="100" t="n"/>
      <c r="M76" s="100" t="n"/>
      <c r="N76" s="100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5.75" customHeight="1" s="134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  <c r="J77" s="100" t="n"/>
      <c r="K77" s="100" t="n"/>
      <c r="L77" s="100" t="n"/>
      <c r="M77" s="100" t="n"/>
      <c r="N77" s="100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5.75" customHeight="1" s="134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  <c r="J78" s="100" t="n"/>
      <c r="K78" s="100" t="n"/>
      <c r="L78" s="100" t="n"/>
      <c r="M78" s="100" t="n"/>
      <c r="N78" s="100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 s="134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  <c r="J79" s="100" t="n"/>
      <c r="K79" s="100" t="n"/>
      <c r="L79" s="100" t="n"/>
      <c r="M79" s="100" t="n"/>
      <c r="N79" s="100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 s="134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  <c r="J80" s="100" t="n"/>
      <c r="K80" s="100" t="n"/>
      <c r="L80" s="100" t="n"/>
      <c r="M80" s="100" t="n"/>
      <c r="N80" s="100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 s="134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  <c r="J81" s="100" t="n"/>
      <c r="K81" s="100" t="n"/>
      <c r="L81" s="100" t="n"/>
      <c r="M81" s="100" t="n"/>
      <c r="N81" s="100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 s="134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  <c r="J82" s="100" t="n"/>
      <c r="K82" s="100" t="n"/>
      <c r="L82" s="100" t="n"/>
      <c r="M82" s="100" t="n"/>
      <c r="N82" s="100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 s="134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  <c r="J83" s="100" t="n"/>
      <c r="K83" s="100" t="n"/>
      <c r="L83" s="100" t="n"/>
      <c r="M83" s="100" t="n"/>
      <c r="N83" s="100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 s="134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  <c r="J84" s="100" t="n"/>
      <c r="K84" s="100" t="n"/>
      <c r="L84" s="100" t="n"/>
      <c r="M84" s="100" t="n"/>
      <c r="N84" s="100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 s="134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  <c r="J85" s="100" t="n"/>
      <c r="K85" s="100" t="n"/>
      <c r="L85" s="100" t="n"/>
      <c r="M85" s="100" t="n"/>
      <c r="N85" s="100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 s="134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  <c r="J86" s="100" t="n"/>
      <c r="K86" s="100" t="n"/>
      <c r="L86" s="100" t="n"/>
      <c r="M86" s="100" t="n"/>
      <c r="N86" s="100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 s="134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  <c r="J87" s="100" t="n"/>
      <c r="K87" s="100" t="n"/>
      <c r="L87" s="100" t="n"/>
      <c r="M87" s="100" t="n"/>
      <c r="N87" s="100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 s="134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  <c r="J88" s="100" t="n"/>
      <c r="K88" s="100" t="n"/>
      <c r="L88" s="100" t="n"/>
      <c r="M88" s="100" t="n"/>
      <c r="N88" s="100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 s="134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  <c r="J89" s="100" t="n"/>
      <c r="K89" s="100" t="n"/>
      <c r="L89" s="100" t="n"/>
      <c r="M89" s="100" t="n"/>
      <c r="N89" s="100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 s="134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  <c r="J90" s="100" t="n"/>
      <c r="K90" s="100" t="n"/>
      <c r="L90" s="100" t="n"/>
      <c r="M90" s="100" t="n"/>
      <c r="N90" s="100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 s="134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  <c r="J91" s="100" t="n"/>
      <c r="K91" s="100" t="n"/>
      <c r="L91" s="100" t="n"/>
      <c r="M91" s="100" t="n"/>
      <c r="N91" s="100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 s="134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  <c r="J92" s="100" t="n"/>
      <c r="K92" s="100" t="n"/>
      <c r="L92" s="100" t="n"/>
      <c r="M92" s="100" t="n"/>
      <c r="N92" s="100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 s="134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  <c r="J93" s="100" t="n"/>
      <c r="K93" s="100" t="n"/>
      <c r="L93" s="100" t="n"/>
      <c r="M93" s="100" t="n"/>
      <c r="N93" s="100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 s="134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  <c r="J94" s="100" t="n"/>
      <c r="K94" s="100" t="n"/>
      <c r="L94" s="100" t="n"/>
      <c r="M94" s="100" t="n"/>
      <c r="N94" s="100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 s="134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  <c r="J95" s="100" t="n"/>
      <c r="K95" s="100" t="n"/>
      <c r="L95" s="100" t="n"/>
      <c r="M95" s="100" t="n"/>
      <c r="N95" s="100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 s="134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  <c r="J96" s="100" t="n"/>
      <c r="K96" s="100" t="n"/>
      <c r="L96" s="100" t="n"/>
      <c r="M96" s="100" t="n"/>
      <c r="N96" s="100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 s="134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  <c r="J97" s="100" t="n"/>
      <c r="K97" s="100" t="n"/>
      <c r="L97" s="100" t="n"/>
      <c r="M97" s="100" t="n"/>
      <c r="N97" s="100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 s="134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  <c r="J98" s="100" t="n"/>
      <c r="K98" s="100" t="n"/>
      <c r="L98" s="100" t="n"/>
      <c r="M98" s="100" t="n"/>
      <c r="N98" s="100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 s="134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  <c r="J99" s="100" t="n"/>
      <c r="K99" s="100" t="n"/>
      <c r="L99" s="100" t="n"/>
      <c r="M99" s="100" t="n"/>
      <c r="N99" s="100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 s="134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  <c r="J100" s="100" t="n"/>
      <c r="K100" s="100" t="n"/>
      <c r="L100" s="100" t="n"/>
      <c r="M100" s="100" t="n"/>
      <c r="N100" s="100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 s="134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  <c r="J101" s="100" t="n"/>
      <c r="K101" s="100" t="n"/>
      <c r="L101" s="100" t="n"/>
      <c r="M101" s="100" t="n"/>
      <c r="N101" s="100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 s="134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  <c r="J102" s="100" t="n"/>
      <c r="K102" s="100" t="n"/>
      <c r="L102" s="100" t="n"/>
      <c r="M102" s="100" t="n"/>
      <c r="N102" s="100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 s="134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  <c r="J103" s="100" t="n"/>
      <c r="K103" s="100" t="n"/>
      <c r="L103" s="100" t="n"/>
      <c r="M103" s="100" t="n"/>
      <c r="N103" s="100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 s="134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  <c r="J104" s="100" t="n"/>
      <c r="K104" s="100" t="n"/>
      <c r="L104" s="100" t="n"/>
      <c r="M104" s="100" t="n"/>
      <c r="N104" s="100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 s="134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  <c r="J105" s="100" t="n"/>
      <c r="K105" s="100" t="n"/>
      <c r="L105" s="100" t="n"/>
      <c r="M105" s="100" t="n"/>
      <c r="N105" s="100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 s="134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  <c r="J106" s="100" t="n"/>
      <c r="K106" s="100" t="n"/>
      <c r="L106" s="100" t="n"/>
      <c r="M106" s="100" t="n"/>
      <c r="N106" s="100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 s="134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  <c r="J107" s="100" t="n"/>
      <c r="K107" s="100" t="n"/>
      <c r="L107" s="100" t="n"/>
      <c r="M107" s="100" t="n"/>
      <c r="N107" s="100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 s="134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  <c r="J108" s="100" t="n"/>
      <c r="K108" s="100" t="n"/>
      <c r="L108" s="100" t="n"/>
      <c r="M108" s="100" t="n"/>
      <c r="N108" s="100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 s="134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  <c r="J109" s="100" t="n"/>
      <c r="K109" s="100" t="n"/>
      <c r="L109" s="100" t="n"/>
      <c r="M109" s="100" t="n"/>
      <c r="N109" s="100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 s="134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  <c r="J110" s="100" t="n"/>
      <c r="K110" s="100" t="n"/>
      <c r="L110" s="100" t="n"/>
      <c r="M110" s="100" t="n"/>
      <c r="N110" s="100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 s="134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  <c r="J111" s="100" t="n"/>
      <c r="K111" s="100" t="n"/>
      <c r="L111" s="100" t="n"/>
      <c r="M111" s="100" t="n"/>
      <c r="N111" s="100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 s="134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  <c r="J112" s="100" t="n"/>
      <c r="K112" s="100" t="n"/>
      <c r="L112" s="100" t="n"/>
      <c r="M112" s="100" t="n"/>
      <c r="N112" s="100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 s="134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  <c r="J113" s="100" t="n"/>
      <c r="K113" s="100" t="n"/>
      <c r="L113" s="100" t="n"/>
      <c r="M113" s="100" t="n"/>
      <c r="N113" s="100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 s="134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  <c r="J114" s="100" t="n"/>
      <c r="K114" s="100" t="n"/>
      <c r="L114" s="100" t="n"/>
      <c r="M114" s="100" t="n"/>
      <c r="N114" s="100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 s="134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  <c r="J115" s="100" t="n"/>
      <c r="K115" s="100" t="n"/>
      <c r="L115" s="100" t="n"/>
      <c r="M115" s="100" t="n"/>
      <c r="N115" s="100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 s="134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  <c r="J116" s="100" t="n"/>
      <c r="K116" s="100" t="n"/>
      <c r="L116" s="100" t="n"/>
      <c r="M116" s="100" t="n"/>
      <c r="N116" s="100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 s="134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  <c r="J117" s="100" t="n"/>
      <c r="K117" s="100" t="n"/>
      <c r="L117" s="100" t="n"/>
      <c r="M117" s="100" t="n"/>
      <c r="N117" s="100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 s="134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  <c r="J118" s="100" t="n"/>
      <c r="K118" s="100" t="n"/>
      <c r="L118" s="100" t="n"/>
      <c r="M118" s="100" t="n"/>
      <c r="N118" s="100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 s="134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  <c r="J119" s="100" t="n"/>
      <c r="K119" s="100" t="n"/>
      <c r="L119" s="100" t="n"/>
      <c r="M119" s="100" t="n"/>
      <c r="N119" s="100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 s="134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  <c r="J120" s="100" t="n"/>
      <c r="K120" s="100" t="n"/>
      <c r="L120" s="100" t="n"/>
      <c r="M120" s="100" t="n"/>
      <c r="N120" s="100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 s="134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  <c r="J121" s="100" t="n"/>
      <c r="K121" s="100" t="n"/>
      <c r="L121" s="100" t="n"/>
      <c r="M121" s="100" t="n"/>
      <c r="N121" s="100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 s="134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  <c r="J122" s="100" t="n"/>
      <c r="K122" s="100" t="n"/>
      <c r="L122" s="100" t="n"/>
      <c r="M122" s="100" t="n"/>
      <c r="N122" s="100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 s="134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  <c r="J123" s="100" t="n"/>
      <c r="K123" s="100" t="n"/>
      <c r="L123" s="100" t="n"/>
      <c r="M123" s="100" t="n"/>
      <c r="N123" s="100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 s="134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  <c r="J124" s="100" t="n"/>
      <c r="K124" s="100" t="n"/>
      <c r="L124" s="100" t="n"/>
      <c r="M124" s="100" t="n"/>
      <c r="N124" s="100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 s="134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  <c r="J125" s="100" t="n"/>
      <c r="K125" s="100" t="n"/>
      <c r="L125" s="100" t="n"/>
      <c r="M125" s="100" t="n"/>
      <c r="N125" s="100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 s="134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  <c r="J126" s="100" t="n"/>
      <c r="K126" s="100" t="n"/>
      <c r="L126" s="100" t="n"/>
      <c r="M126" s="100" t="n"/>
      <c r="N126" s="100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 s="134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  <c r="J127" s="100" t="n"/>
      <c r="K127" s="100" t="n"/>
      <c r="L127" s="100" t="n"/>
      <c r="M127" s="100" t="n"/>
      <c r="N127" s="100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 s="134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  <c r="J128" s="100" t="n"/>
      <c r="K128" s="100" t="n"/>
      <c r="L128" s="100" t="n"/>
      <c r="M128" s="100" t="n"/>
      <c r="N128" s="100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 s="134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  <c r="J129" s="100" t="n"/>
      <c r="K129" s="100" t="n"/>
      <c r="L129" s="100" t="n"/>
      <c r="M129" s="100" t="n"/>
      <c r="N129" s="100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 s="134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  <c r="J130" s="100" t="n"/>
      <c r="K130" s="100" t="n"/>
      <c r="L130" s="100" t="n"/>
      <c r="M130" s="100" t="n"/>
      <c r="N130" s="100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 s="134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  <c r="J131" s="100" t="n"/>
      <c r="K131" s="100" t="n"/>
      <c r="L131" s="100" t="n"/>
      <c r="M131" s="100" t="n"/>
      <c r="N131" s="100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 s="134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  <c r="J132" s="100" t="n"/>
      <c r="K132" s="100" t="n"/>
      <c r="L132" s="100" t="n"/>
      <c r="M132" s="100" t="n"/>
      <c r="N132" s="100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 s="134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  <c r="J133" s="100" t="n"/>
      <c r="K133" s="100" t="n"/>
      <c r="L133" s="100" t="n"/>
      <c r="M133" s="100" t="n"/>
      <c r="N133" s="100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 s="134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  <c r="J134" s="100" t="n"/>
      <c r="K134" s="100" t="n"/>
      <c r="L134" s="100" t="n"/>
      <c r="M134" s="100" t="n"/>
      <c r="N134" s="100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 s="134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  <c r="J135" s="100" t="n"/>
      <c r="K135" s="100" t="n"/>
      <c r="L135" s="100" t="n"/>
      <c r="M135" s="100" t="n"/>
      <c r="N135" s="100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 s="134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  <c r="J136" s="100" t="n"/>
      <c r="K136" s="100" t="n"/>
      <c r="L136" s="100" t="n"/>
      <c r="M136" s="100" t="n"/>
      <c r="N136" s="100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 s="134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  <c r="J137" s="100" t="n"/>
      <c r="K137" s="100" t="n"/>
      <c r="L137" s="100" t="n"/>
      <c r="M137" s="100" t="n"/>
      <c r="N137" s="100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 s="134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  <c r="J138" s="100" t="n"/>
      <c r="K138" s="100" t="n"/>
      <c r="L138" s="100" t="n"/>
      <c r="M138" s="100" t="n"/>
      <c r="N138" s="100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 s="134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  <c r="J139" s="100" t="n"/>
      <c r="K139" s="100" t="n"/>
      <c r="L139" s="100" t="n"/>
      <c r="M139" s="100" t="n"/>
      <c r="N139" s="100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 s="134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  <c r="J140" s="100" t="n"/>
      <c r="K140" s="100" t="n"/>
      <c r="L140" s="100" t="n"/>
      <c r="M140" s="100" t="n"/>
      <c r="N140" s="100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 s="134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  <c r="J141" s="100" t="n"/>
      <c r="K141" s="100" t="n"/>
      <c r="L141" s="100" t="n"/>
      <c r="M141" s="100" t="n"/>
      <c r="N141" s="100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 s="134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  <c r="J142" s="100" t="n"/>
      <c r="K142" s="100" t="n"/>
      <c r="L142" s="100" t="n"/>
      <c r="M142" s="100" t="n"/>
      <c r="N142" s="100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 s="134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  <c r="J143" s="100" t="n"/>
      <c r="K143" s="100" t="n"/>
      <c r="L143" s="100" t="n"/>
      <c r="M143" s="100" t="n"/>
      <c r="N143" s="100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 s="134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  <c r="J144" s="100" t="n"/>
      <c r="K144" s="100" t="n"/>
      <c r="L144" s="100" t="n"/>
      <c r="M144" s="100" t="n"/>
      <c r="N144" s="100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 s="134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  <c r="J145" s="100" t="n"/>
      <c r="K145" s="100" t="n"/>
      <c r="L145" s="100" t="n"/>
      <c r="M145" s="100" t="n"/>
      <c r="N145" s="100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 s="134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  <c r="J146" s="100" t="n"/>
      <c r="K146" s="100" t="n"/>
      <c r="L146" s="100" t="n"/>
      <c r="M146" s="100" t="n"/>
      <c r="N146" s="100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 s="134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  <c r="J147" s="100" t="n"/>
      <c r="K147" s="100" t="n"/>
      <c r="L147" s="100" t="n"/>
      <c r="M147" s="100" t="n"/>
      <c r="N147" s="100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 s="134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  <c r="J148" s="100" t="n"/>
      <c r="K148" s="100" t="n"/>
      <c r="L148" s="100" t="n"/>
      <c r="M148" s="100" t="n"/>
      <c r="N148" s="100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 s="134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  <c r="J149" s="100" t="n"/>
      <c r="K149" s="100" t="n"/>
      <c r="L149" s="100" t="n"/>
      <c r="M149" s="100" t="n"/>
      <c r="N149" s="100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 s="134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  <c r="J150" s="100" t="n"/>
      <c r="K150" s="100" t="n"/>
      <c r="L150" s="100" t="n"/>
      <c r="M150" s="100" t="n"/>
      <c r="N150" s="100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 s="134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  <c r="J151" s="100" t="n"/>
      <c r="K151" s="100" t="n"/>
      <c r="L151" s="100" t="n"/>
      <c r="M151" s="100" t="n"/>
      <c r="N151" s="100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 s="134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  <c r="J152" s="100" t="n"/>
      <c r="K152" s="100" t="n"/>
      <c r="L152" s="100" t="n"/>
      <c r="M152" s="100" t="n"/>
      <c r="N152" s="100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 s="134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  <c r="J153" s="100" t="n"/>
      <c r="K153" s="100" t="n"/>
      <c r="L153" s="100" t="n"/>
      <c r="M153" s="100" t="n"/>
      <c r="N153" s="100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 s="134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  <c r="J154" s="100" t="n"/>
      <c r="K154" s="100" t="n"/>
      <c r="L154" s="100" t="n"/>
      <c r="M154" s="100" t="n"/>
      <c r="N154" s="100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 s="134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  <c r="J155" s="100" t="n"/>
      <c r="K155" s="100" t="n"/>
      <c r="L155" s="100" t="n"/>
      <c r="M155" s="100" t="n"/>
      <c r="N155" s="100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 s="134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  <c r="J156" s="100" t="n"/>
      <c r="K156" s="100" t="n"/>
      <c r="L156" s="100" t="n"/>
      <c r="M156" s="100" t="n"/>
      <c r="N156" s="100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 s="134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  <c r="J157" s="100" t="n"/>
      <c r="K157" s="100" t="n"/>
      <c r="L157" s="100" t="n"/>
      <c r="M157" s="100" t="n"/>
      <c r="N157" s="100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 s="134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  <c r="J158" s="100" t="n"/>
      <c r="K158" s="100" t="n"/>
      <c r="L158" s="100" t="n"/>
      <c r="M158" s="100" t="n"/>
      <c r="N158" s="100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 s="134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  <c r="J159" s="100" t="n"/>
      <c r="K159" s="100" t="n"/>
      <c r="L159" s="100" t="n"/>
      <c r="M159" s="100" t="n"/>
      <c r="N159" s="100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 s="134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  <c r="J160" s="100" t="n"/>
      <c r="K160" s="100" t="n"/>
      <c r="L160" s="100" t="n"/>
      <c r="M160" s="100" t="n"/>
      <c r="N160" s="100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 s="134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  <c r="J161" s="100" t="n"/>
      <c r="K161" s="100" t="n"/>
      <c r="L161" s="100" t="n"/>
      <c r="M161" s="100" t="n"/>
      <c r="N161" s="100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 s="134">
      <c r="A162" s="100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  <c r="J162" s="100" t="n"/>
      <c r="K162" s="100" t="n"/>
      <c r="L162" s="100" t="n"/>
      <c r="M162" s="100" t="n"/>
      <c r="N162" s="100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 s="134">
      <c r="A163" s="100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  <c r="J163" s="100" t="n"/>
      <c r="K163" s="100" t="n"/>
      <c r="L163" s="100" t="n"/>
      <c r="M163" s="100" t="n"/>
      <c r="N163" s="100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 s="134">
      <c r="A164" s="100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  <c r="J164" s="100" t="n"/>
      <c r="K164" s="100" t="n"/>
      <c r="L164" s="100" t="n"/>
      <c r="M164" s="100" t="n"/>
      <c r="N164" s="100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 s="134">
      <c r="A165" s="100" t="n"/>
      <c r="B165" s="100" t="n"/>
      <c r="C165" s="100" t="n"/>
      <c r="D165" s="100" t="n"/>
      <c r="E165" s="100" t="n"/>
      <c r="F165" s="100" t="n"/>
      <c r="G165" s="100" t="n"/>
      <c r="H165" s="100" t="n"/>
      <c r="I165" s="100" t="n"/>
      <c r="J165" s="100" t="n"/>
      <c r="K165" s="100" t="n"/>
      <c r="L165" s="100" t="n"/>
      <c r="M165" s="100" t="n"/>
      <c r="N165" s="100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 s="134">
      <c r="A166" s="100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  <c r="J166" s="100" t="n"/>
      <c r="K166" s="100" t="n"/>
      <c r="L166" s="100" t="n"/>
      <c r="M166" s="100" t="n"/>
      <c r="N166" s="100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 s="134">
      <c r="A167" s="100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  <c r="J167" s="100" t="n"/>
      <c r="K167" s="100" t="n"/>
      <c r="L167" s="100" t="n"/>
      <c r="M167" s="100" t="n"/>
      <c r="N167" s="100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 s="134">
      <c r="A168" s="100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  <c r="J168" s="100" t="n"/>
      <c r="K168" s="100" t="n"/>
      <c r="L168" s="100" t="n"/>
      <c r="M168" s="100" t="n"/>
      <c r="N168" s="100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 s="134">
      <c r="A169" s="100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  <c r="J169" s="100" t="n"/>
      <c r="K169" s="100" t="n"/>
      <c r="L169" s="100" t="n"/>
      <c r="M169" s="100" t="n"/>
      <c r="N169" s="100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 s="134">
      <c r="A170" s="100" t="n"/>
      <c r="B170" s="100" t="n"/>
      <c r="C170" s="100" t="n"/>
      <c r="D170" s="100" t="n"/>
      <c r="E170" s="100" t="n"/>
      <c r="F170" s="100" t="n"/>
      <c r="G170" s="100" t="n"/>
      <c r="H170" s="100" t="n"/>
      <c r="I170" s="100" t="n"/>
      <c r="J170" s="100" t="n"/>
      <c r="K170" s="100" t="n"/>
      <c r="L170" s="100" t="n"/>
      <c r="M170" s="100" t="n"/>
      <c r="N170" s="100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 s="134">
      <c r="A171" s="100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  <c r="J171" s="100" t="n"/>
      <c r="K171" s="100" t="n"/>
      <c r="L171" s="100" t="n"/>
      <c r="M171" s="100" t="n"/>
      <c r="N171" s="100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 s="134">
      <c r="A172" s="100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  <c r="J172" s="100" t="n"/>
      <c r="K172" s="100" t="n"/>
      <c r="L172" s="100" t="n"/>
      <c r="M172" s="100" t="n"/>
      <c r="N172" s="100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 s="134">
      <c r="A173" s="100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  <c r="J173" s="100" t="n"/>
      <c r="K173" s="100" t="n"/>
      <c r="L173" s="100" t="n"/>
      <c r="M173" s="100" t="n"/>
      <c r="N173" s="100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 s="134">
      <c r="A174" s="100" t="n"/>
      <c r="B174" s="100" t="n"/>
      <c r="C174" s="100" t="n"/>
      <c r="D174" s="100" t="n"/>
      <c r="E174" s="100" t="n"/>
      <c r="F174" s="100" t="n"/>
      <c r="G174" s="100" t="n"/>
      <c r="H174" s="100" t="n"/>
      <c r="I174" s="100" t="n"/>
      <c r="J174" s="100" t="n"/>
      <c r="K174" s="100" t="n"/>
      <c r="L174" s="100" t="n"/>
      <c r="M174" s="100" t="n"/>
      <c r="N174" s="100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 s="134">
      <c r="A175" s="100" t="n"/>
      <c r="B175" s="100" t="n"/>
      <c r="C175" s="100" t="n"/>
      <c r="D175" s="100" t="n"/>
      <c r="E175" s="100" t="n"/>
      <c r="F175" s="100" t="n"/>
      <c r="G175" s="100" t="n"/>
      <c r="H175" s="100" t="n"/>
      <c r="I175" s="100" t="n"/>
      <c r="J175" s="100" t="n"/>
      <c r="K175" s="100" t="n"/>
      <c r="L175" s="100" t="n"/>
      <c r="M175" s="100" t="n"/>
      <c r="N175" s="100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 s="134">
      <c r="A176" s="100" t="n"/>
      <c r="B176" s="100" t="n"/>
      <c r="C176" s="100" t="n"/>
      <c r="D176" s="100" t="n"/>
      <c r="E176" s="100" t="n"/>
      <c r="F176" s="100" t="n"/>
      <c r="G176" s="100" t="n"/>
      <c r="H176" s="100" t="n"/>
      <c r="I176" s="100" t="n"/>
      <c r="J176" s="100" t="n"/>
      <c r="K176" s="100" t="n"/>
      <c r="L176" s="100" t="n"/>
      <c r="M176" s="100" t="n"/>
      <c r="N176" s="100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 s="134">
      <c r="A177" s="100" t="n"/>
      <c r="B177" s="100" t="n"/>
      <c r="C177" s="100" t="n"/>
      <c r="D177" s="100" t="n"/>
      <c r="E177" s="100" t="n"/>
      <c r="F177" s="100" t="n"/>
      <c r="G177" s="100" t="n"/>
      <c r="H177" s="100" t="n"/>
      <c r="I177" s="100" t="n"/>
      <c r="J177" s="100" t="n"/>
      <c r="K177" s="100" t="n"/>
      <c r="L177" s="100" t="n"/>
      <c r="M177" s="100" t="n"/>
      <c r="N177" s="100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 s="134">
      <c r="A178" s="100" t="n"/>
      <c r="B178" s="100" t="n"/>
      <c r="C178" s="100" t="n"/>
      <c r="D178" s="100" t="n"/>
      <c r="E178" s="100" t="n"/>
      <c r="F178" s="100" t="n"/>
      <c r="G178" s="100" t="n"/>
      <c r="H178" s="100" t="n"/>
      <c r="I178" s="100" t="n"/>
      <c r="J178" s="100" t="n"/>
      <c r="K178" s="100" t="n"/>
      <c r="L178" s="100" t="n"/>
      <c r="M178" s="100" t="n"/>
      <c r="N178" s="100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 s="134">
      <c r="A179" s="100" t="n"/>
      <c r="B179" s="100" t="n"/>
      <c r="C179" s="100" t="n"/>
      <c r="D179" s="100" t="n"/>
      <c r="E179" s="100" t="n"/>
      <c r="F179" s="100" t="n"/>
      <c r="G179" s="100" t="n"/>
      <c r="H179" s="100" t="n"/>
      <c r="I179" s="100" t="n"/>
      <c r="J179" s="100" t="n"/>
      <c r="K179" s="100" t="n"/>
      <c r="L179" s="100" t="n"/>
      <c r="M179" s="100" t="n"/>
      <c r="N179" s="100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 s="134">
      <c r="A180" s="100" t="n"/>
      <c r="B180" s="100" t="n"/>
      <c r="C180" s="100" t="n"/>
      <c r="D180" s="100" t="n"/>
      <c r="E180" s="100" t="n"/>
      <c r="F180" s="100" t="n"/>
      <c r="G180" s="100" t="n"/>
      <c r="H180" s="100" t="n"/>
      <c r="I180" s="100" t="n"/>
      <c r="J180" s="100" t="n"/>
      <c r="K180" s="100" t="n"/>
      <c r="L180" s="100" t="n"/>
      <c r="M180" s="100" t="n"/>
      <c r="N180" s="100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 s="134">
      <c r="A181" s="100" t="n"/>
      <c r="B181" s="100" t="n"/>
      <c r="C181" s="100" t="n"/>
      <c r="D181" s="100" t="n"/>
      <c r="E181" s="100" t="n"/>
      <c r="F181" s="100" t="n"/>
      <c r="G181" s="100" t="n"/>
      <c r="H181" s="100" t="n"/>
      <c r="I181" s="100" t="n"/>
      <c r="J181" s="100" t="n"/>
      <c r="K181" s="100" t="n"/>
      <c r="L181" s="100" t="n"/>
      <c r="M181" s="100" t="n"/>
      <c r="N181" s="100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 s="134">
      <c r="A182" s="100" t="n"/>
      <c r="B182" s="100" t="n"/>
      <c r="C182" s="100" t="n"/>
      <c r="D182" s="100" t="n"/>
      <c r="E182" s="100" t="n"/>
      <c r="F182" s="100" t="n"/>
      <c r="G182" s="100" t="n"/>
      <c r="H182" s="100" t="n"/>
      <c r="I182" s="100" t="n"/>
      <c r="J182" s="100" t="n"/>
      <c r="K182" s="100" t="n"/>
      <c r="L182" s="100" t="n"/>
      <c r="M182" s="100" t="n"/>
      <c r="N182" s="100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 s="134">
      <c r="A183" s="100" t="n"/>
      <c r="B183" s="100" t="n"/>
      <c r="C183" s="100" t="n"/>
      <c r="D183" s="100" t="n"/>
      <c r="E183" s="100" t="n"/>
      <c r="F183" s="100" t="n"/>
      <c r="G183" s="100" t="n"/>
      <c r="H183" s="100" t="n"/>
      <c r="I183" s="100" t="n"/>
      <c r="J183" s="100" t="n"/>
      <c r="K183" s="100" t="n"/>
      <c r="L183" s="100" t="n"/>
      <c r="M183" s="100" t="n"/>
      <c r="N183" s="100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 s="134">
      <c r="A184" s="100" t="n"/>
      <c r="B184" s="100" t="n"/>
      <c r="C184" s="100" t="n"/>
      <c r="D184" s="100" t="n"/>
      <c r="E184" s="100" t="n"/>
      <c r="F184" s="100" t="n"/>
      <c r="G184" s="100" t="n"/>
      <c r="H184" s="100" t="n"/>
      <c r="I184" s="100" t="n"/>
      <c r="J184" s="100" t="n"/>
      <c r="K184" s="100" t="n"/>
      <c r="L184" s="100" t="n"/>
      <c r="M184" s="100" t="n"/>
      <c r="N184" s="100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 s="134">
      <c r="A185" s="100" t="n"/>
      <c r="B185" s="100" t="n"/>
      <c r="C185" s="100" t="n"/>
      <c r="D185" s="100" t="n"/>
      <c r="E185" s="100" t="n"/>
      <c r="F185" s="100" t="n"/>
      <c r="G185" s="100" t="n"/>
      <c r="H185" s="100" t="n"/>
      <c r="I185" s="100" t="n"/>
      <c r="J185" s="100" t="n"/>
      <c r="K185" s="100" t="n"/>
      <c r="L185" s="100" t="n"/>
      <c r="M185" s="100" t="n"/>
      <c r="N185" s="100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 s="134">
      <c r="A186" s="100" t="n"/>
      <c r="B186" s="100" t="n"/>
      <c r="C186" s="100" t="n"/>
      <c r="D186" s="100" t="n"/>
      <c r="E186" s="100" t="n"/>
      <c r="F186" s="100" t="n"/>
      <c r="G186" s="100" t="n"/>
      <c r="H186" s="100" t="n"/>
      <c r="I186" s="100" t="n"/>
      <c r="J186" s="100" t="n"/>
      <c r="K186" s="100" t="n"/>
      <c r="L186" s="100" t="n"/>
      <c r="M186" s="100" t="n"/>
      <c r="N186" s="100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 s="134">
      <c r="A187" s="100" t="n"/>
      <c r="B187" s="100" t="n"/>
      <c r="C187" s="100" t="n"/>
      <c r="D187" s="100" t="n"/>
      <c r="E187" s="100" t="n"/>
      <c r="F187" s="100" t="n"/>
      <c r="G187" s="100" t="n"/>
      <c r="H187" s="100" t="n"/>
      <c r="I187" s="100" t="n"/>
      <c r="J187" s="100" t="n"/>
      <c r="K187" s="100" t="n"/>
      <c r="L187" s="100" t="n"/>
      <c r="M187" s="100" t="n"/>
      <c r="N187" s="100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 s="134">
      <c r="A188" s="100" t="n"/>
      <c r="B188" s="100" t="n"/>
      <c r="C188" s="100" t="n"/>
      <c r="D188" s="100" t="n"/>
      <c r="E188" s="100" t="n"/>
      <c r="F188" s="100" t="n"/>
      <c r="G188" s="100" t="n"/>
      <c r="H188" s="100" t="n"/>
      <c r="I188" s="100" t="n"/>
      <c r="J188" s="100" t="n"/>
      <c r="K188" s="100" t="n"/>
      <c r="L188" s="100" t="n"/>
      <c r="M188" s="100" t="n"/>
      <c r="N188" s="100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 s="134">
      <c r="A189" s="100" t="n"/>
      <c r="B189" s="100" t="n"/>
      <c r="C189" s="100" t="n"/>
      <c r="D189" s="100" t="n"/>
      <c r="E189" s="100" t="n"/>
      <c r="F189" s="100" t="n"/>
      <c r="G189" s="100" t="n"/>
      <c r="H189" s="100" t="n"/>
      <c r="I189" s="100" t="n"/>
      <c r="J189" s="100" t="n"/>
      <c r="K189" s="100" t="n"/>
      <c r="L189" s="100" t="n"/>
      <c r="M189" s="100" t="n"/>
      <c r="N189" s="100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 s="134">
      <c r="A190" s="100" t="n"/>
      <c r="B190" s="100" t="n"/>
      <c r="C190" s="100" t="n"/>
      <c r="D190" s="100" t="n"/>
      <c r="E190" s="100" t="n"/>
      <c r="F190" s="100" t="n"/>
      <c r="G190" s="100" t="n"/>
      <c r="H190" s="100" t="n"/>
      <c r="I190" s="100" t="n"/>
      <c r="J190" s="100" t="n"/>
      <c r="K190" s="100" t="n"/>
      <c r="L190" s="100" t="n"/>
      <c r="M190" s="100" t="n"/>
      <c r="N190" s="100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 s="134">
      <c r="A191" s="100" t="n"/>
      <c r="B191" s="100" t="n"/>
      <c r="C191" s="100" t="n"/>
      <c r="D191" s="100" t="n"/>
      <c r="E191" s="100" t="n"/>
      <c r="F191" s="100" t="n"/>
      <c r="G191" s="100" t="n"/>
      <c r="H191" s="100" t="n"/>
      <c r="I191" s="100" t="n"/>
      <c r="J191" s="100" t="n"/>
      <c r="K191" s="100" t="n"/>
      <c r="L191" s="100" t="n"/>
      <c r="M191" s="100" t="n"/>
      <c r="N191" s="100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 s="134">
      <c r="A192" s="100" t="n"/>
      <c r="B192" s="100" t="n"/>
      <c r="C192" s="100" t="n"/>
      <c r="D192" s="100" t="n"/>
      <c r="E192" s="100" t="n"/>
      <c r="F192" s="100" t="n"/>
      <c r="G192" s="100" t="n"/>
      <c r="H192" s="100" t="n"/>
      <c r="I192" s="100" t="n"/>
      <c r="J192" s="100" t="n"/>
      <c r="K192" s="100" t="n"/>
      <c r="L192" s="100" t="n"/>
      <c r="M192" s="100" t="n"/>
      <c r="N192" s="100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 s="134">
      <c r="A193" s="100" t="n"/>
      <c r="B193" s="100" t="n"/>
      <c r="C193" s="100" t="n"/>
      <c r="D193" s="100" t="n"/>
      <c r="E193" s="100" t="n"/>
      <c r="F193" s="100" t="n"/>
      <c r="G193" s="100" t="n"/>
      <c r="H193" s="100" t="n"/>
      <c r="I193" s="100" t="n"/>
      <c r="J193" s="100" t="n"/>
      <c r="K193" s="100" t="n"/>
      <c r="L193" s="100" t="n"/>
      <c r="M193" s="100" t="n"/>
      <c r="N193" s="100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 s="134">
      <c r="A194" s="100" t="n"/>
      <c r="B194" s="100" t="n"/>
      <c r="C194" s="100" t="n"/>
      <c r="D194" s="100" t="n"/>
      <c r="E194" s="100" t="n"/>
      <c r="F194" s="100" t="n"/>
      <c r="G194" s="100" t="n"/>
      <c r="H194" s="100" t="n"/>
      <c r="I194" s="100" t="n"/>
      <c r="J194" s="100" t="n"/>
      <c r="K194" s="100" t="n"/>
      <c r="L194" s="100" t="n"/>
      <c r="M194" s="100" t="n"/>
      <c r="N194" s="100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 s="134">
      <c r="A195" s="100" t="n"/>
      <c r="B195" s="100" t="n"/>
      <c r="C195" s="100" t="n"/>
      <c r="D195" s="100" t="n"/>
      <c r="E195" s="100" t="n"/>
      <c r="F195" s="100" t="n"/>
      <c r="G195" s="100" t="n"/>
      <c r="H195" s="100" t="n"/>
      <c r="I195" s="100" t="n"/>
      <c r="J195" s="100" t="n"/>
      <c r="K195" s="100" t="n"/>
      <c r="L195" s="100" t="n"/>
      <c r="M195" s="100" t="n"/>
      <c r="N195" s="100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 s="134">
      <c r="A196" s="100" t="n"/>
      <c r="B196" s="100" t="n"/>
      <c r="C196" s="100" t="n"/>
      <c r="D196" s="100" t="n"/>
      <c r="E196" s="100" t="n"/>
      <c r="F196" s="100" t="n"/>
      <c r="G196" s="100" t="n"/>
      <c r="H196" s="100" t="n"/>
      <c r="I196" s="100" t="n"/>
      <c r="J196" s="100" t="n"/>
      <c r="K196" s="100" t="n"/>
      <c r="L196" s="100" t="n"/>
      <c r="M196" s="100" t="n"/>
      <c r="N196" s="100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 s="134">
      <c r="A197" s="100" t="n"/>
      <c r="B197" s="100" t="n"/>
      <c r="C197" s="100" t="n"/>
      <c r="D197" s="100" t="n"/>
      <c r="E197" s="100" t="n"/>
      <c r="F197" s="100" t="n"/>
      <c r="G197" s="100" t="n"/>
      <c r="H197" s="100" t="n"/>
      <c r="I197" s="100" t="n"/>
      <c r="J197" s="100" t="n"/>
      <c r="K197" s="100" t="n"/>
      <c r="L197" s="100" t="n"/>
      <c r="M197" s="100" t="n"/>
      <c r="N197" s="100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 s="134">
      <c r="A198" s="100" t="n"/>
      <c r="B198" s="100" t="n"/>
      <c r="C198" s="100" t="n"/>
      <c r="D198" s="100" t="n"/>
      <c r="E198" s="100" t="n"/>
      <c r="F198" s="100" t="n"/>
      <c r="G198" s="100" t="n"/>
      <c r="H198" s="100" t="n"/>
      <c r="I198" s="100" t="n"/>
      <c r="J198" s="100" t="n"/>
      <c r="K198" s="100" t="n"/>
      <c r="L198" s="100" t="n"/>
      <c r="M198" s="100" t="n"/>
      <c r="N198" s="100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 s="134">
      <c r="A199" s="100" t="n"/>
      <c r="B199" s="100" t="n"/>
      <c r="C199" s="100" t="n"/>
      <c r="D199" s="100" t="n"/>
      <c r="E199" s="100" t="n"/>
      <c r="F199" s="100" t="n"/>
      <c r="G199" s="100" t="n"/>
      <c r="H199" s="100" t="n"/>
      <c r="I199" s="100" t="n"/>
      <c r="J199" s="100" t="n"/>
      <c r="K199" s="100" t="n"/>
      <c r="L199" s="100" t="n"/>
      <c r="M199" s="100" t="n"/>
      <c r="N199" s="100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 s="134">
      <c r="A200" s="100" t="n"/>
      <c r="B200" s="100" t="n"/>
      <c r="C200" s="100" t="n"/>
      <c r="D200" s="100" t="n"/>
      <c r="E200" s="100" t="n"/>
      <c r="F200" s="100" t="n"/>
      <c r="G200" s="100" t="n"/>
      <c r="H200" s="100" t="n"/>
      <c r="I200" s="100" t="n"/>
      <c r="J200" s="100" t="n"/>
      <c r="K200" s="100" t="n"/>
      <c r="L200" s="100" t="n"/>
      <c r="M200" s="100" t="n"/>
      <c r="N200" s="100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 s="134">
      <c r="A201" s="100" t="n"/>
      <c r="B201" s="100" t="n"/>
      <c r="C201" s="100" t="n"/>
      <c r="D201" s="100" t="n"/>
      <c r="E201" s="100" t="n"/>
      <c r="F201" s="100" t="n"/>
      <c r="G201" s="100" t="n"/>
      <c r="H201" s="100" t="n"/>
      <c r="I201" s="100" t="n"/>
      <c r="J201" s="100" t="n"/>
      <c r="K201" s="100" t="n"/>
      <c r="L201" s="100" t="n"/>
      <c r="M201" s="100" t="n"/>
      <c r="N201" s="100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 s="134">
      <c r="A202" s="100" t="n"/>
      <c r="B202" s="100" t="n"/>
      <c r="C202" s="100" t="n"/>
      <c r="D202" s="100" t="n"/>
      <c r="E202" s="100" t="n"/>
      <c r="F202" s="100" t="n"/>
      <c r="G202" s="100" t="n"/>
      <c r="H202" s="100" t="n"/>
      <c r="I202" s="100" t="n"/>
      <c r="J202" s="100" t="n"/>
      <c r="K202" s="100" t="n"/>
      <c r="L202" s="100" t="n"/>
      <c r="M202" s="100" t="n"/>
      <c r="N202" s="100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 s="134">
      <c r="A203" s="100" t="n"/>
      <c r="B203" s="100" t="n"/>
      <c r="C203" s="100" t="n"/>
      <c r="D203" s="100" t="n"/>
      <c r="E203" s="100" t="n"/>
      <c r="F203" s="100" t="n"/>
      <c r="G203" s="100" t="n"/>
      <c r="H203" s="100" t="n"/>
      <c r="I203" s="100" t="n"/>
      <c r="J203" s="100" t="n"/>
      <c r="K203" s="100" t="n"/>
      <c r="L203" s="100" t="n"/>
      <c r="M203" s="100" t="n"/>
      <c r="N203" s="100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 s="134">
      <c r="A204" s="100" t="n"/>
      <c r="B204" s="100" t="n"/>
      <c r="C204" s="100" t="n"/>
      <c r="D204" s="100" t="n"/>
      <c r="E204" s="100" t="n"/>
      <c r="F204" s="100" t="n"/>
      <c r="G204" s="100" t="n"/>
      <c r="H204" s="100" t="n"/>
      <c r="I204" s="100" t="n"/>
      <c r="J204" s="100" t="n"/>
      <c r="K204" s="100" t="n"/>
      <c r="L204" s="100" t="n"/>
      <c r="M204" s="100" t="n"/>
      <c r="N204" s="100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 s="134">
      <c r="A205" s="100" t="n"/>
      <c r="B205" s="100" t="n"/>
      <c r="C205" s="100" t="n"/>
      <c r="D205" s="100" t="n"/>
      <c r="E205" s="100" t="n"/>
      <c r="F205" s="100" t="n"/>
      <c r="G205" s="100" t="n"/>
      <c r="H205" s="100" t="n"/>
      <c r="I205" s="100" t="n"/>
      <c r="J205" s="100" t="n"/>
      <c r="K205" s="100" t="n"/>
      <c r="L205" s="100" t="n"/>
      <c r="M205" s="100" t="n"/>
      <c r="N205" s="100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 s="134">
      <c r="A206" s="100" t="n"/>
      <c r="B206" s="100" t="n"/>
      <c r="C206" s="100" t="n"/>
      <c r="D206" s="100" t="n"/>
      <c r="E206" s="100" t="n"/>
      <c r="F206" s="100" t="n"/>
      <c r="G206" s="100" t="n"/>
      <c r="H206" s="100" t="n"/>
      <c r="I206" s="100" t="n"/>
      <c r="J206" s="100" t="n"/>
      <c r="K206" s="100" t="n"/>
      <c r="L206" s="100" t="n"/>
      <c r="M206" s="100" t="n"/>
      <c r="N206" s="100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 s="134">
      <c r="A207" s="100" t="n"/>
      <c r="B207" s="100" t="n"/>
      <c r="C207" s="100" t="n"/>
      <c r="D207" s="100" t="n"/>
      <c r="E207" s="100" t="n"/>
      <c r="F207" s="100" t="n"/>
      <c r="G207" s="100" t="n"/>
      <c r="H207" s="100" t="n"/>
      <c r="I207" s="100" t="n"/>
      <c r="J207" s="100" t="n"/>
      <c r="K207" s="100" t="n"/>
      <c r="L207" s="100" t="n"/>
      <c r="M207" s="100" t="n"/>
      <c r="N207" s="100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 s="134">
      <c r="A208" s="100" t="n"/>
      <c r="B208" s="100" t="n"/>
      <c r="C208" s="100" t="n"/>
      <c r="D208" s="100" t="n"/>
      <c r="E208" s="100" t="n"/>
      <c r="F208" s="100" t="n"/>
      <c r="G208" s="100" t="n"/>
      <c r="H208" s="100" t="n"/>
      <c r="I208" s="100" t="n"/>
      <c r="J208" s="100" t="n"/>
      <c r="K208" s="100" t="n"/>
      <c r="L208" s="100" t="n"/>
      <c r="M208" s="100" t="n"/>
      <c r="N208" s="100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 s="134">
      <c r="A209" s="100" t="n"/>
      <c r="B209" s="100" t="n"/>
      <c r="C209" s="100" t="n"/>
      <c r="D209" s="100" t="n"/>
      <c r="E209" s="100" t="n"/>
      <c r="F209" s="100" t="n"/>
      <c r="G209" s="100" t="n"/>
      <c r="H209" s="100" t="n"/>
      <c r="I209" s="100" t="n"/>
      <c r="J209" s="100" t="n"/>
      <c r="K209" s="100" t="n"/>
      <c r="L209" s="100" t="n"/>
      <c r="M209" s="100" t="n"/>
      <c r="N209" s="100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 s="134">
      <c r="A210" s="100" t="n"/>
      <c r="B210" s="100" t="n"/>
      <c r="C210" s="100" t="n"/>
      <c r="D210" s="100" t="n"/>
      <c r="E210" s="100" t="n"/>
      <c r="F210" s="100" t="n"/>
      <c r="G210" s="100" t="n"/>
      <c r="H210" s="100" t="n"/>
      <c r="I210" s="100" t="n"/>
      <c r="J210" s="100" t="n"/>
      <c r="K210" s="100" t="n"/>
      <c r="L210" s="100" t="n"/>
      <c r="M210" s="100" t="n"/>
      <c r="N210" s="100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 s="134">
      <c r="A211" s="100" t="n"/>
      <c r="B211" s="100" t="n"/>
      <c r="C211" s="100" t="n"/>
      <c r="D211" s="100" t="n"/>
      <c r="E211" s="100" t="n"/>
      <c r="F211" s="100" t="n"/>
      <c r="G211" s="100" t="n"/>
      <c r="H211" s="100" t="n"/>
      <c r="I211" s="100" t="n"/>
      <c r="J211" s="100" t="n"/>
      <c r="K211" s="100" t="n"/>
      <c r="L211" s="100" t="n"/>
      <c r="M211" s="100" t="n"/>
      <c r="N211" s="100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 s="134">
      <c r="A212" s="100" t="n"/>
      <c r="B212" s="100" t="n"/>
      <c r="C212" s="100" t="n"/>
      <c r="D212" s="100" t="n"/>
      <c r="E212" s="100" t="n"/>
      <c r="F212" s="100" t="n"/>
      <c r="G212" s="100" t="n"/>
      <c r="H212" s="100" t="n"/>
      <c r="I212" s="100" t="n"/>
      <c r="J212" s="100" t="n"/>
      <c r="K212" s="100" t="n"/>
      <c r="L212" s="100" t="n"/>
      <c r="M212" s="100" t="n"/>
      <c r="N212" s="100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 s="134">
      <c r="A213" s="100" t="n"/>
      <c r="B213" s="100" t="n"/>
      <c r="C213" s="100" t="n"/>
      <c r="D213" s="100" t="n"/>
      <c r="E213" s="100" t="n"/>
      <c r="F213" s="100" t="n"/>
      <c r="G213" s="100" t="n"/>
      <c r="H213" s="100" t="n"/>
      <c r="I213" s="100" t="n"/>
      <c r="J213" s="100" t="n"/>
      <c r="K213" s="100" t="n"/>
      <c r="L213" s="100" t="n"/>
      <c r="M213" s="100" t="n"/>
      <c r="N213" s="100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 s="134">
      <c r="A214" s="100" t="n"/>
      <c r="B214" s="100" t="n"/>
      <c r="C214" s="100" t="n"/>
      <c r="D214" s="100" t="n"/>
      <c r="E214" s="100" t="n"/>
      <c r="F214" s="100" t="n"/>
      <c r="G214" s="100" t="n"/>
      <c r="H214" s="100" t="n"/>
      <c r="I214" s="100" t="n"/>
      <c r="J214" s="100" t="n"/>
      <c r="K214" s="100" t="n"/>
      <c r="L214" s="100" t="n"/>
      <c r="M214" s="100" t="n"/>
      <c r="N214" s="100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 s="134">
      <c r="A215" s="100" t="n"/>
      <c r="B215" s="100" t="n"/>
      <c r="C215" s="100" t="n"/>
      <c r="D215" s="100" t="n"/>
      <c r="E215" s="100" t="n"/>
      <c r="F215" s="100" t="n"/>
      <c r="G215" s="100" t="n"/>
      <c r="H215" s="100" t="n"/>
      <c r="I215" s="100" t="n"/>
      <c r="J215" s="100" t="n"/>
      <c r="K215" s="100" t="n"/>
      <c r="L215" s="100" t="n"/>
      <c r="M215" s="100" t="n"/>
      <c r="N215" s="100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 s="134">
      <c r="A216" s="100" t="n"/>
      <c r="B216" s="100" t="n"/>
      <c r="C216" s="100" t="n"/>
      <c r="D216" s="100" t="n"/>
      <c r="E216" s="100" t="n"/>
      <c r="F216" s="100" t="n"/>
      <c r="G216" s="100" t="n"/>
      <c r="H216" s="100" t="n"/>
      <c r="I216" s="100" t="n"/>
      <c r="J216" s="100" t="n"/>
      <c r="K216" s="100" t="n"/>
      <c r="L216" s="100" t="n"/>
      <c r="M216" s="100" t="n"/>
      <c r="N216" s="100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 s="134">
      <c r="A217" s="100" t="n"/>
      <c r="B217" s="100" t="n"/>
      <c r="C217" s="100" t="n"/>
      <c r="D217" s="100" t="n"/>
      <c r="E217" s="100" t="n"/>
      <c r="F217" s="100" t="n"/>
      <c r="G217" s="100" t="n"/>
      <c r="H217" s="100" t="n"/>
      <c r="I217" s="100" t="n"/>
      <c r="J217" s="100" t="n"/>
      <c r="K217" s="100" t="n"/>
      <c r="L217" s="100" t="n"/>
      <c r="M217" s="100" t="n"/>
      <c r="N217" s="100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 s="134">
      <c r="A218" s="100" t="n"/>
      <c r="B218" s="100" t="n"/>
      <c r="C218" s="100" t="n"/>
      <c r="D218" s="100" t="n"/>
      <c r="E218" s="100" t="n"/>
      <c r="F218" s="100" t="n"/>
      <c r="G218" s="100" t="n"/>
      <c r="H218" s="100" t="n"/>
      <c r="I218" s="100" t="n"/>
      <c r="J218" s="100" t="n"/>
      <c r="K218" s="100" t="n"/>
      <c r="L218" s="100" t="n"/>
      <c r="M218" s="100" t="n"/>
      <c r="N218" s="100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 s="134">
      <c r="A219" s="100" t="n"/>
      <c r="B219" s="100" t="n"/>
      <c r="C219" s="100" t="n"/>
      <c r="D219" s="100" t="n"/>
      <c r="E219" s="100" t="n"/>
      <c r="F219" s="100" t="n"/>
      <c r="G219" s="100" t="n"/>
      <c r="H219" s="100" t="n"/>
      <c r="I219" s="100" t="n"/>
      <c r="J219" s="100" t="n"/>
      <c r="K219" s="100" t="n"/>
      <c r="L219" s="100" t="n"/>
      <c r="M219" s="100" t="n"/>
      <c r="N219" s="100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 s="134">
      <c r="A220" s="100" t="n"/>
      <c r="B220" s="100" t="n"/>
      <c r="C220" s="100" t="n"/>
      <c r="D220" s="100" t="n"/>
      <c r="E220" s="100" t="n"/>
      <c r="F220" s="100" t="n"/>
      <c r="G220" s="100" t="n"/>
      <c r="H220" s="100" t="n"/>
      <c r="I220" s="100" t="n"/>
      <c r="J220" s="100" t="n"/>
      <c r="K220" s="100" t="n"/>
      <c r="L220" s="100" t="n"/>
      <c r="M220" s="100" t="n"/>
      <c r="N220" s="100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 s="134">
      <c r="A221" s="100" t="n"/>
      <c r="B221" s="100" t="n"/>
      <c r="C221" s="100" t="n"/>
      <c r="D221" s="100" t="n"/>
      <c r="E221" s="100" t="n"/>
      <c r="F221" s="100" t="n"/>
      <c r="G221" s="100" t="n"/>
      <c r="H221" s="100" t="n"/>
      <c r="I221" s="100" t="n"/>
      <c r="J221" s="100" t="n"/>
      <c r="K221" s="100" t="n"/>
      <c r="L221" s="100" t="n"/>
      <c r="M221" s="100" t="n"/>
      <c r="N221" s="100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 s="134">
      <c r="A222" s="100" t="n"/>
      <c r="B222" s="100" t="n"/>
      <c r="C222" s="100" t="n"/>
      <c r="D222" s="100" t="n"/>
      <c r="E222" s="100" t="n"/>
      <c r="F222" s="100" t="n"/>
      <c r="G222" s="100" t="n"/>
      <c r="H222" s="100" t="n"/>
      <c r="I222" s="100" t="n"/>
      <c r="J222" s="100" t="n"/>
      <c r="K222" s="100" t="n"/>
      <c r="L222" s="100" t="n"/>
      <c r="M222" s="100" t="n"/>
      <c r="N222" s="100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 s="134">
      <c r="A223" s="100" t="n"/>
      <c r="B223" s="100" t="n"/>
      <c r="C223" s="100" t="n"/>
      <c r="D223" s="100" t="n"/>
      <c r="E223" s="100" t="n"/>
      <c r="F223" s="100" t="n"/>
      <c r="G223" s="100" t="n"/>
      <c r="H223" s="100" t="n"/>
      <c r="I223" s="100" t="n"/>
      <c r="J223" s="100" t="n"/>
      <c r="K223" s="100" t="n"/>
      <c r="L223" s="100" t="n"/>
      <c r="M223" s="100" t="n"/>
      <c r="N223" s="100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 s="134">
      <c r="A224" s="100" t="n"/>
      <c r="B224" s="100" t="n"/>
      <c r="C224" s="100" t="n"/>
      <c r="D224" s="100" t="n"/>
      <c r="E224" s="100" t="n"/>
      <c r="F224" s="100" t="n"/>
      <c r="G224" s="100" t="n"/>
      <c r="H224" s="100" t="n"/>
      <c r="I224" s="100" t="n"/>
      <c r="J224" s="100" t="n"/>
      <c r="K224" s="100" t="n"/>
      <c r="L224" s="100" t="n"/>
      <c r="M224" s="100" t="n"/>
      <c r="N224" s="100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 s="134">
      <c r="A225" s="100" t="n"/>
      <c r="B225" s="100" t="n"/>
      <c r="C225" s="100" t="n"/>
      <c r="D225" s="100" t="n"/>
      <c r="E225" s="100" t="n"/>
      <c r="F225" s="100" t="n"/>
      <c r="G225" s="100" t="n"/>
      <c r="H225" s="100" t="n"/>
      <c r="I225" s="100" t="n"/>
      <c r="J225" s="100" t="n"/>
      <c r="K225" s="100" t="n"/>
      <c r="L225" s="100" t="n"/>
      <c r="M225" s="100" t="n"/>
      <c r="N225" s="100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 s="134">
      <c r="A226" s="100" t="n"/>
      <c r="B226" s="100" t="n"/>
      <c r="C226" s="100" t="n"/>
      <c r="D226" s="100" t="n"/>
      <c r="E226" s="100" t="n"/>
      <c r="F226" s="100" t="n"/>
      <c r="G226" s="100" t="n"/>
      <c r="H226" s="100" t="n"/>
      <c r="I226" s="100" t="n"/>
      <c r="J226" s="100" t="n"/>
      <c r="K226" s="100" t="n"/>
      <c r="L226" s="100" t="n"/>
      <c r="M226" s="100" t="n"/>
      <c r="N226" s="100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 s="134">
      <c r="A227" s="100" t="n"/>
      <c r="B227" s="100" t="n"/>
      <c r="C227" s="100" t="n"/>
      <c r="D227" s="100" t="n"/>
      <c r="E227" s="100" t="n"/>
      <c r="F227" s="100" t="n"/>
      <c r="G227" s="100" t="n"/>
      <c r="H227" s="100" t="n"/>
      <c r="I227" s="100" t="n"/>
      <c r="J227" s="100" t="n"/>
      <c r="K227" s="100" t="n"/>
      <c r="L227" s="100" t="n"/>
      <c r="M227" s="100" t="n"/>
      <c r="N227" s="100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 s="134">
      <c r="A228" s="100" t="n"/>
      <c r="B228" s="100" t="n"/>
      <c r="C228" s="100" t="n"/>
      <c r="D228" s="100" t="n"/>
      <c r="E228" s="100" t="n"/>
      <c r="F228" s="100" t="n"/>
      <c r="G228" s="100" t="n"/>
      <c r="H228" s="100" t="n"/>
      <c r="I228" s="100" t="n"/>
      <c r="J228" s="100" t="n"/>
      <c r="K228" s="100" t="n"/>
      <c r="L228" s="100" t="n"/>
      <c r="M228" s="100" t="n"/>
      <c r="N228" s="100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 s="134">
      <c r="A229" s="100" t="n"/>
      <c r="B229" s="100" t="n"/>
      <c r="C229" s="100" t="n"/>
      <c r="D229" s="100" t="n"/>
      <c r="E229" s="100" t="n"/>
      <c r="F229" s="100" t="n"/>
      <c r="G229" s="100" t="n"/>
      <c r="H229" s="100" t="n"/>
      <c r="I229" s="100" t="n"/>
      <c r="J229" s="100" t="n"/>
      <c r="K229" s="100" t="n"/>
      <c r="L229" s="100" t="n"/>
      <c r="M229" s="100" t="n"/>
      <c r="N229" s="100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 s="134">
      <c r="A230" s="100" t="n"/>
      <c r="B230" s="100" t="n"/>
      <c r="C230" s="100" t="n"/>
      <c r="D230" s="100" t="n"/>
      <c r="E230" s="100" t="n"/>
      <c r="F230" s="100" t="n"/>
      <c r="G230" s="100" t="n"/>
      <c r="H230" s="100" t="n"/>
      <c r="I230" s="100" t="n"/>
      <c r="J230" s="100" t="n"/>
      <c r="K230" s="100" t="n"/>
      <c r="L230" s="100" t="n"/>
      <c r="M230" s="100" t="n"/>
      <c r="N230" s="100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 s="134">
      <c r="A231" s="100" t="n"/>
      <c r="B231" s="100" t="n"/>
      <c r="C231" s="100" t="n"/>
      <c r="D231" s="100" t="n"/>
      <c r="E231" s="100" t="n"/>
      <c r="F231" s="100" t="n"/>
      <c r="G231" s="100" t="n"/>
      <c r="H231" s="100" t="n"/>
      <c r="I231" s="100" t="n"/>
      <c r="J231" s="100" t="n"/>
      <c r="K231" s="100" t="n"/>
      <c r="L231" s="100" t="n"/>
      <c r="M231" s="100" t="n"/>
      <c r="N231" s="100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 s="134">
      <c r="A232" s="100" t="n"/>
      <c r="B232" s="100" t="n"/>
      <c r="C232" s="100" t="n"/>
      <c r="D232" s="100" t="n"/>
      <c r="E232" s="100" t="n"/>
      <c r="F232" s="100" t="n"/>
      <c r="G232" s="100" t="n"/>
      <c r="H232" s="100" t="n"/>
      <c r="I232" s="100" t="n"/>
      <c r="J232" s="100" t="n"/>
      <c r="K232" s="100" t="n"/>
      <c r="L232" s="100" t="n"/>
      <c r="M232" s="100" t="n"/>
      <c r="N232" s="100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 s="134">
      <c r="A233" s="100" t="n"/>
      <c r="B233" s="100" t="n"/>
      <c r="C233" s="100" t="n"/>
      <c r="D233" s="100" t="n"/>
      <c r="E233" s="100" t="n"/>
      <c r="F233" s="100" t="n"/>
      <c r="G233" s="100" t="n"/>
      <c r="H233" s="100" t="n"/>
      <c r="I233" s="100" t="n"/>
      <c r="J233" s="100" t="n"/>
      <c r="K233" s="100" t="n"/>
      <c r="L233" s="100" t="n"/>
      <c r="M233" s="100" t="n"/>
      <c r="N233" s="100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 s="134">
      <c r="A234" s="100" t="n"/>
      <c r="B234" s="100" t="n"/>
      <c r="C234" s="100" t="n"/>
      <c r="D234" s="100" t="n"/>
      <c r="E234" s="100" t="n"/>
      <c r="F234" s="100" t="n"/>
      <c r="G234" s="100" t="n"/>
      <c r="H234" s="100" t="n"/>
      <c r="I234" s="100" t="n"/>
      <c r="J234" s="100" t="n"/>
      <c r="K234" s="100" t="n"/>
      <c r="L234" s="100" t="n"/>
      <c r="M234" s="100" t="n"/>
      <c r="N234" s="100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 s="134">
      <c r="A235" s="100" t="n"/>
      <c r="B235" s="100" t="n"/>
      <c r="C235" s="100" t="n"/>
      <c r="D235" s="100" t="n"/>
      <c r="E235" s="100" t="n"/>
      <c r="F235" s="100" t="n"/>
      <c r="G235" s="100" t="n"/>
      <c r="H235" s="100" t="n"/>
      <c r="I235" s="100" t="n"/>
      <c r="J235" s="100" t="n"/>
      <c r="K235" s="100" t="n"/>
      <c r="L235" s="100" t="n"/>
      <c r="M235" s="100" t="n"/>
      <c r="N235" s="100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 s="134">
      <c r="A236" s="100" t="n"/>
      <c r="B236" s="100" t="n"/>
      <c r="C236" s="100" t="n"/>
      <c r="D236" s="100" t="n"/>
      <c r="E236" s="100" t="n"/>
      <c r="F236" s="100" t="n"/>
      <c r="G236" s="100" t="n"/>
      <c r="H236" s="100" t="n"/>
      <c r="I236" s="100" t="n"/>
      <c r="J236" s="100" t="n"/>
      <c r="K236" s="100" t="n"/>
      <c r="L236" s="100" t="n"/>
      <c r="M236" s="100" t="n"/>
      <c r="N236" s="100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 s="134">
      <c r="A237" s="100" t="n"/>
      <c r="B237" s="100" t="n"/>
      <c r="C237" s="100" t="n"/>
      <c r="D237" s="100" t="n"/>
      <c r="E237" s="100" t="n"/>
      <c r="F237" s="100" t="n"/>
      <c r="G237" s="100" t="n"/>
      <c r="H237" s="100" t="n"/>
      <c r="I237" s="100" t="n"/>
      <c r="J237" s="100" t="n"/>
      <c r="K237" s="100" t="n"/>
      <c r="L237" s="100" t="n"/>
      <c r="M237" s="100" t="n"/>
      <c r="N237" s="100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 s="134">
      <c r="A238" s="100" t="n"/>
      <c r="B238" s="100" t="n"/>
      <c r="C238" s="100" t="n"/>
      <c r="D238" s="100" t="n"/>
      <c r="E238" s="100" t="n"/>
      <c r="F238" s="100" t="n"/>
      <c r="G238" s="100" t="n"/>
      <c r="H238" s="100" t="n"/>
      <c r="I238" s="100" t="n"/>
      <c r="J238" s="100" t="n"/>
      <c r="K238" s="100" t="n"/>
      <c r="L238" s="100" t="n"/>
      <c r="M238" s="100" t="n"/>
      <c r="N238" s="100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 s="134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5.75" customHeight="1" s="134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5.75" customHeight="1" s="134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5.75" customHeight="1" s="134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5.75" customHeight="1" s="134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5.75" customHeight="1" s="13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5.75" customHeight="1" s="134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5.75" customHeight="1" s="134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5.75" customHeight="1" s="134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5.75" customHeight="1" s="134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5.75" customHeight="1" s="134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5.75" customHeight="1" s="134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5.75" customHeight="1" s="134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5.75" customHeight="1" s="134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5.75" customHeight="1" s="134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5.75" customHeight="1" s="13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5.75" customHeight="1" s="134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5.75" customHeight="1" s="134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5.75" customHeight="1" s="134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5.75" customHeight="1" s="134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5.75" customHeight="1" s="134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5.75" customHeight="1" s="134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5.75" customHeight="1" s="134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5.75" customHeight="1" s="134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5.75" customHeight="1" s="134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5.75" customHeight="1" s="13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5.75" customHeight="1" s="134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5.75" customHeight="1" s="134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5.75" customHeight="1" s="134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5.75" customHeight="1" s="134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5.75" customHeight="1" s="134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5.75" customHeight="1" s="134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5.75" customHeight="1" s="134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5.75" customHeight="1" s="134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5.75" customHeight="1" s="134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5.75" customHeight="1" s="13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5.75" customHeight="1" s="134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5.75" customHeight="1" s="134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5.75" customHeight="1" s="134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5.75" customHeight="1" s="134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5.75" customHeight="1" s="134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5.75" customHeight="1" s="134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5.75" customHeight="1" s="134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5.75" customHeight="1" s="134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5.75" customHeight="1" s="134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5.75" customHeight="1" s="13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5.75" customHeight="1" s="134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5.75" customHeight="1" s="134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5.75" customHeight="1" s="134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5.75" customHeight="1" s="134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5.75" customHeight="1" s="134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5.75" customHeight="1" s="134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5.75" customHeight="1" s="134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5.75" customHeight="1" s="134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5.75" customHeight="1" s="134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5.75" customHeight="1" s="13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5.75" customHeight="1" s="134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5.75" customHeight="1" s="134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5.75" customHeight="1" s="134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5.75" customHeight="1" s="134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5.75" customHeight="1" s="134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5.75" customHeight="1" s="134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5.75" customHeight="1" s="134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5.75" customHeight="1" s="134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5.75" customHeight="1" s="134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5.75" customHeight="1" s="13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5.75" customHeight="1" s="134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5.75" customHeight="1" s="134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5.75" customHeight="1" s="134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5.75" customHeight="1" s="134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5.75" customHeight="1" s="134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5.75" customHeight="1" s="134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5.75" customHeight="1" s="134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5.75" customHeight="1" s="134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5.75" customHeight="1" s="134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5.75" customHeight="1" s="13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5.75" customHeight="1" s="134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5.75" customHeight="1" s="134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5.75" customHeight="1" s="134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5.75" customHeight="1" s="134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5.75" customHeight="1" s="134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5.75" customHeight="1" s="134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5.75" customHeight="1" s="134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5.75" customHeight="1" s="134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5.75" customHeight="1" s="134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5.75" customHeight="1" s="13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5.75" customHeight="1" s="134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5.75" customHeight="1" s="134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5.75" customHeight="1" s="134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5.75" customHeight="1" s="134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5.75" customHeight="1" s="134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5.75" customHeight="1" s="134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5.75" customHeight="1" s="134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5.75" customHeight="1" s="134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5.75" customHeight="1" s="134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5.75" customHeight="1" s="1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5.75" customHeight="1" s="134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5.75" customHeight="1" s="134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5.75" customHeight="1" s="134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5.75" customHeight="1" s="134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5.75" customHeight="1" s="134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5.75" customHeight="1" s="134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5.75" customHeight="1" s="134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5.75" customHeight="1" s="134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5.75" customHeight="1" s="134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5.75" customHeight="1" s="13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5.75" customHeight="1" s="134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5.75" customHeight="1" s="134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5.75" customHeight="1" s="134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5.75" customHeight="1" s="134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5.75" customHeight="1" s="134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5.75" customHeight="1" s="134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5.75" customHeight="1" s="134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5.75" customHeight="1" s="134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5.75" customHeight="1" s="134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5.75" customHeight="1" s="13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5.75" customHeight="1" s="134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5.75" customHeight="1" s="134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5.75" customHeight="1" s="134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5.75" customHeight="1" s="134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5.75" customHeight="1" s="134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5.75" customHeight="1" s="134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5.75" customHeight="1" s="134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5.75" customHeight="1" s="134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5.75" customHeight="1" s="134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5.75" customHeight="1" s="13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5.75" customHeight="1" s="134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5.75" customHeight="1" s="134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5.75" customHeight="1" s="134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5.75" customHeight="1" s="134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5.75" customHeight="1" s="134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5.75" customHeight="1" s="134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5.75" customHeight="1" s="134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5.75" customHeight="1" s="134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5.75" customHeight="1" s="134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5.75" customHeight="1" s="13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5.75" customHeight="1" s="134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5.75" customHeight="1" s="134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5.75" customHeight="1" s="134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5.75" customHeight="1" s="134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5.75" customHeight="1" s="134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5.75" customHeight="1" s="134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5.75" customHeight="1" s="134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5.75" customHeight="1" s="134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5.75" customHeight="1" s="134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5.75" customHeight="1" s="13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5.75" customHeight="1" s="134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5.75" customHeight="1" s="134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5.75" customHeight="1" s="134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5.75" customHeight="1" s="134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5.75" customHeight="1" s="134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5.75" customHeight="1" s="134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5.75" customHeight="1" s="134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5.75" customHeight="1" s="134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5.75" customHeight="1" s="134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5.75" customHeight="1" s="13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5.75" customHeight="1" s="134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5.75" customHeight="1" s="134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5.75" customHeight="1" s="134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5.75" customHeight="1" s="134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5.75" customHeight="1" s="134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5.75" customHeight="1" s="134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5.75" customHeight="1" s="134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5.75" customHeight="1" s="134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5.75" customHeight="1" s="134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5.75" customHeight="1" s="13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5.75" customHeight="1" s="134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5.75" customHeight="1" s="134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5.75" customHeight="1" s="134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5.75" customHeight="1" s="134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5.75" customHeight="1" s="134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5.75" customHeight="1" s="134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5.75" customHeight="1" s="134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5.75" customHeight="1" s="134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5.75" customHeight="1" s="134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5.75" customHeight="1" s="13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5.75" customHeight="1" s="134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5.75" customHeight="1" s="134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5.75" customHeight="1" s="134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5.75" customHeight="1" s="134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5.75" customHeight="1" s="134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5.75" customHeight="1" s="134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5.75" customHeight="1" s="134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5.75" customHeight="1" s="134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5.75" customHeight="1" s="134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5.75" customHeight="1" s="13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5.75" customHeight="1" s="134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5.75" customHeight="1" s="134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5.75" customHeight="1" s="134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5.75" customHeight="1" s="134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5.75" customHeight="1" s="134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5.75" customHeight="1" s="134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5.75" customHeight="1" s="134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5.75" customHeight="1" s="134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5.75" customHeight="1" s="134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5.75" customHeight="1" s="1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5.75" customHeight="1" s="134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5.75" customHeight="1" s="134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5.75" customHeight="1" s="134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5.75" customHeight="1" s="134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5.75" customHeight="1" s="134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5.75" customHeight="1" s="134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5.75" customHeight="1" s="134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5.75" customHeight="1" s="134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5.75" customHeight="1" s="134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5.75" customHeight="1" s="13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5.75" customHeight="1" s="134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5.75" customHeight="1" s="134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5.75" customHeight="1" s="134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5.75" customHeight="1" s="134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5.75" customHeight="1" s="134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5.75" customHeight="1" s="134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5.75" customHeight="1" s="134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5.75" customHeight="1" s="134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5.75" customHeight="1" s="134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5.75" customHeight="1" s="13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5.75" customHeight="1" s="134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5.75" customHeight="1" s="134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5.75" customHeight="1" s="134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5.75" customHeight="1" s="134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5.75" customHeight="1" s="134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5.75" customHeight="1" s="134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5.75" customHeight="1" s="134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5.75" customHeight="1" s="134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5.75" customHeight="1" s="134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5.75" customHeight="1" s="13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5.75" customHeight="1" s="134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5.75" customHeight="1" s="134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5.75" customHeight="1" s="134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5.75" customHeight="1" s="134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5.75" customHeight="1" s="134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5.75" customHeight="1" s="134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5.75" customHeight="1" s="134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5.75" customHeight="1" s="134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5.75" customHeight="1" s="134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5.75" customHeight="1" s="13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5.75" customHeight="1" s="134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5.75" customHeight="1" s="134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5.75" customHeight="1" s="134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5.75" customHeight="1" s="134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5.75" customHeight="1" s="134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5.75" customHeight="1" s="134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5.75" customHeight="1" s="134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5.75" customHeight="1" s="134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5.75" customHeight="1" s="134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5.75" customHeight="1" s="13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5.75" customHeight="1" s="134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5.75" customHeight="1" s="134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5.75" customHeight="1" s="134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5.75" customHeight="1" s="134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5.75" customHeight="1" s="134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5.75" customHeight="1" s="134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5.75" customHeight="1" s="134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5.75" customHeight="1" s="134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5.75" customHeight="1" s="134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5.75" customHeight="1" s="13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5.75" customHeight="1" s="134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5.75" customHeight="1" s="134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5.75" customHeight="1" s="134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5.75" customHeight="1" s="134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5.75" customHeight="1" s="134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5.75" customHeight="1" s="134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5.75" customHeight="1" s="134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5.75" customHeight="1" s="134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5.75" customHeight="1" s="134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5.75" customHeight="1" s="13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5.75" customHeight="1" s="134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5.75" customHeight="1" s="134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5.75" customHeight="1" s="134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5.75" customHeight="1" s="134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5.75" customHeight="1" s="134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5.75" customHeight="1" s="134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5.75" customHeight="1" s="134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5.75" customHeight="1" s="134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5.75" customHeight="1" s="134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5.75" customHeight="1" s="13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5.75" customHeight="1" s="134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5.75" customHeight="1" s="134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5.75" customHeight="1" s="134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5.75" customHeight="1" s="134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5.75" customHeight="1" s="134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5.75" customHeight="1" s="134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5.75" customHeight="1" s="134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5.75" customHeight="1" s="134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5.75" customHeight="1" s="134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5.75" customHeight="1" s="13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5.75" customHeight="1" s="134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5.75" customHeight="1" s="134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5.75" customHeight="1" s="134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5.75" customHeight="1" s="134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5.75" customHeight="1" s="134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5.75" customHeight="1" s="134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5.75" customHeight="1" s="134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5.75" customHeight="1" s="134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5.75" customHeight="1" s="134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5.75" customHeight="1" s="1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5.75" customHeight="1" s="134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5.75" customHeight="1" s="134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5.75" customHeight="1" s="134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5.75" customHeight="1" s="134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5.75" customHeight="1" s="134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5.75" customHeight="1" s="134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5.75" customHeight="1" s="134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5.75" customHeight="1" s="134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5.75" customHeight="1" s="134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5.75" customHeight="1" s="13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5.75" customHeight="1" s="134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5.75" customHeight="1" s="134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5.75" customHeight="1" s="134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5.75" customHeight="1" s="134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5.75" customHeight="1" s="134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5.75" customHeight="1" s="134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5.75" customHeight="1" s="134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5.75" customHeight="1" s="134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5.75" customHeight="1" s="134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5.75" customHeight="1" s="13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5.75" customHeight="1" s="134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5.75" customHeight="1" s="134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5.75" customHeight="1" s="134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5.75" customHeight="1" s="134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5.75" customHeight="1" s="134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5.75" customHeight="1" s="134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5.75" customHeight="1" s="134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5.75" customHeight="1" s="134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5.75" customHeight="1" s="134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5.75" customHeight="1" s="13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5.75" customHeight="1" s="134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5.75" customHeight="1" s="134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5.75" customHeight="1" s="134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5.75" customHeight="1" s="134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5.75" customHeight="1" s="134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5.75" customHeight="1" s="134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5.75" customHeight="1" s="134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5.75" customHeight="1" s="134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5.75" customHeight="1" s="134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5.75" customHeight="1" s="13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5.75" customHeight="1" s="134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5.75" customHeight="1" s="134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5.75" customHeight="1" s="134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5.75" customHeight="1" s="134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5.75" customHeight="1" s="134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5.75" customHeight="1" s="134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5.75" customHeight="1" s="134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5.75" customHeight="1" s="134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5.75" customHeight="1" s="134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5.75" customHeight="1" s="13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5.75" customHeight="1" s="134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5.75" customHeight="1" s="134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5.75" customHeight="1" s="134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5.75" customHeight="1" s="134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5.75" customHeight="1" s="134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5.75" customHeight="1" s="134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5.75" customHeight="1" s="134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5.75" customHeight="1" s="134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5.75" customHeight="1" s="134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5.75" customHeight="1" s="13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5.75" customHeight="1" s="134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5.75" customHeight="1" s="134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5.75" customHeight="1" s="134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5.75" customHeight="1" s="134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5.75" customHeight="1" s="134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5.75" customHeight="1" s="134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5.75" customHeight="1" s="134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5.75" customHeight="1" s="134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5.75" customHeight="1" s="134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5.75" customHeight="1" s="13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5.75" customHeight="1" s="134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5.75" customHeight="1" s="134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5.75" customHeight="1" s="134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5.75" customHeight="1" s="134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5.75" customHeight="1" s="134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5.75" customHeight="1" s="134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5.75" customHeight="1" s="134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5.75" customHeight="1" s="134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5.75" customHeight="1" s="134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5.75" customHeight="1" s="13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5.75" customHeight="1" s="134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5.75" customHeight="1" s="134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5.75" customHeight="1" s="134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5.75" customHeight="1" s="134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5.75" customHeight="1" s="134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5.75" customHeight="1" s="134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5.75" customHeight="1" s="134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5.75" customHeight="1" s="134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5.75" customHeight="1" s="134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5.75" customHeight="1" s="13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5.75" customHeight="1" s="134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5.75" customHeight="1" s="134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5.75" customHeight="1" s="134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5.75" customHeight="1" s="134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5.75" customHeight="1" s="134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5.75" customHeight="1" s="134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5.75" customHeight="1" s="134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5.75" customHeight="1" s="134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5.75" customHeight="1" s="134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5.75" customHeight="1" s="1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5.75" customHeight="1" s="134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5.75" customHeight="1" s="134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5.75" customHeight="1" s="134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5.75" customHeight="1" s="134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5.75" customHeight="1" s="134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5.75" customHeight="1" s="134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5.75" customHeight="1" s="134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5.75" customHeight="1" s="134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5.75" customHeight="1" s="134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5.75" customHeight="1" s="13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5.75" customHeight="1" s="134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5.75" customHeight="1" s="134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5.75" customHeight="1" s="134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5.75" customHeight="1" s="134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5.75" customHeight="1" s="134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5.75" customHeight="1" s="134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5.75" customHeight="1" s="134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5.75" customHeight="1" s="134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5.75" customHeight="1" s="134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5.75" customHeight="1" s="13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5.75" customHeight="1" s="134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5.75" customHeight="1" s="134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5.75" customHeight="1" s="134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5.75" customHeight="1" s="134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5.75" customHeight="1" s="134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5.75" customHeight="1" s="134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5.75" customHeight="1" s="134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5.75" customHeight="1" s="134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5.75" customHeight="1" s="134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5.75" customHeight="1" s="13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5.75" customHeight="1" s="134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5.75" customHeight="1" s="134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5.75" customHeight="1" s="134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5.75" customHeight="1" s="134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5.75" customHeight="1" s="134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5.75" customHeight="1" s="134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5.75" customHeight="1" s="134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5.75" customHeight="1" s="134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5.75" customHeight="1" s="134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5.75" customHeight="1" s="13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5.75" customHeight="1" s="134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5.75" customHeight="1" s="134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5.75" customHeight="1" s="134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5.75" customHeight="1" s="134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5.75" customHeight="1" s="134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5.75" customHeight="1" s="134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5.75" customHeight="1" s="134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5.75" customHeight="1" s="134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5.75" customHeight="1" s="134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5.75" customHeight="1" s="13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5.75" customHeight="1" s="134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5.75" customHeight="1" s="134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5.75" customHeight="1" s="134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5.75" customHeight="1" s="134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5.75" customHeight="1" s="134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5.75" customHeight="1" s="134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5.75" customHeight="1" s="134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5.75" customHeight="1" s="134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5.75" customHeight="1" s="134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5.75" customHeight="1" s="13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5.75" customHeight="1" s="134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5.75" customHeight="1" s="134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5.75" customHeight="1" s="134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5.75" customHeight="1" s="134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5.75" customHeight="1" s="134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5.75" customHeight="1" s="134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5.75" customHeight="1" s="134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5.75" customHeight="1" s="134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5.75" customHeight="1" s="134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5.75" customHeight="1" s="13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5.75" customHeight="1" s="134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5.75" customHeight="1" s="134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5.75" customHeight="1" s="134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5.75" customHeight="1" s="134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5.75" customHeight="1" s="134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5.75" customHeight="1" s="134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5.75" customHeight="1" s="134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5.75" customHeight="1" s="134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5.75" customHeight="1" s="134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5.75" customHeight="1" s="13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5.75" customHeight="1" s="134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5.75" customHeight="1" s="134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5.75" customHeight="1" s="134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5.75" customHeight="1" s="134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5.75" customHeight="1" s="134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5.75" customHeight="1" s="134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5.75" customHeight="1" s="134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5.75" customHeight="1" s="134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5.75" customHeight="1" s="134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5.75" customHeight="1" s="13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5.75" customHeight="1" s="134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5.75" customHeight="1" s="134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5.75" customHeight="1" s="134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5.75" customHeight="1" s="134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5.75" customHeight="1" s="134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5.75" customHeight="1" s="134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5.75" customHeight="1" s="134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5.75" customHeight="1" s="134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5.75" customHeight="1" s="134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5.75" customHeight="1" s="1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5.75" customHeight="1" s="134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5.75" customHeight="1" s="134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5.75" customHeight="1" s="134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5.75" customHeight="1" s="134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5.75" customHeight="1" s="134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5.75" customHeight="1" s="134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5.75" customHeight="1" s="134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5.75" customHeight="1" s="134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5.75" customHeight="1" s="134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5.75" customHeight="1" s="13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5.75" customHeight="1" s="134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5.75" customHeight="1" s="134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5.75" customHeight="1" s="134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5.75" customHeight="1" s="134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5.75" customHeight="1" s="134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5.75" customHeight="1" s="134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5.75" customHeight="1" s="134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5.75" customHeight="1" s="134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5.75" customHeight="1" s="134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5.75" customHeight="1" s="13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5.75" customHeight="1" s="134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5.75" customHeight="1" s="134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5.75" customHeight="1" s="134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5.75" customHeight="1" s="134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5.75" customHeight="1" s="134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5.75" customHeight="1" s="134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5.75" customHeight="1" s="134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5.75" customHeight="1" s="134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5.75" customHeight="1" s="134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5.75" customHeight="1" s="13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5.75" customHeight="1" s="134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5.75" customHeight="1" s="134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5.75" customHeight="1" s="134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5.75" customHeight="1" s="134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5.75" customHeight="1" s="134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5.75" customHeight="1" s="134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5.75" customHeight="1" s="134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5.75" customHeight="1" s="134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5.75" customHeight="1" s="134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5.75" customHeight="1" s="13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5.75" customHeight="1" s="134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5.75" customHeight="1" s="134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5.75" customHeight="1" s="134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5.75" customHeight="1" s="134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5.75" customHeight="1" s="134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5.75" customHeight="1" s="134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5.75" customHeight="1" s="134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5.75" customHeight="1" s="134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5.75" customHeight="1" s="134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5.75" customHeight="1" s="13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5.75" customHeight="1" s="134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5.75" customHeight="1" s="134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5.75" customHeight="1" s="134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5.75" customHeight="1" s="134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5.75" customHeight="1" s="134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5.75" customHeight="1" s="134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5.75" customHeight="1" s="134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5.75" customHeight="1" s="134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5.75" customHeight="1" s="134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5.75" customHeight="1" s="13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5.75" customHeight="1" s="134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5.75" customHeight="1" s="134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5.75" customHeight="1" s="134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5.75" customHeight="1" s="134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5.75" customHeight="1" s="134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5.75" customHeight="1" s="134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5.75" customHeight="1" s="134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5.75" customHeight="1" s="134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5.75" customHeight="1" s="134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5.75" customHeight="1" s="13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5.75" customHeight="1" s="134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5.75" customHeight="1" s="134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5.75" customHeight="1" s="134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5.75" customHeight="1" s="134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5.75" customHeight="1" s="134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5.75" customHeight="1" s="134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5.75" customHeight="1" s="134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5.75" customHeight="1" s="134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5.75" customHeight="1" s="134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5.75" customHeight="1" s="13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5.75" customHeight="1" s="134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5.75" customHeight="1" s="134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5.75" customHeight="1" s="134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5.75" customHeight="1" s="134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5.75" customHeight="1" s="134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5.75" customHeight="1" s="134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5.75" customHeight="1" s="134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5.75" customHeight="1" s="134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5.75" customHeight="1" s="134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5.75" customHeight="1" s="13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5.75" customHeight="1" s="134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5.75" customHeight="1" s="134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5.75" customHeight="1" s="134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5.75" customHeight="1" s="134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5.75" customHeight="1" s="134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5.75" customHeight="1" s="134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5.75" customHeight="1" s="134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5.75" customHeight="1" s="134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5.75" customHeight="1" s="134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5.75" customHeight="1" s="1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5.75" customHeight="1" s="134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5.75" customHeight="1" s="134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5.75" customHeight="1" s="134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5.75" customHeight="1" s="134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5.75" customHeight="1" s="134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5.75" customHeight="1" s="134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5.75" customHeight="1" s="134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5.75" customHeight="1" s="134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5.75" customHeight="1" s="134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5.75" customHeight="1" s="13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5.75" customHeight="1" s="134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5.75" customHeight="1" s="134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5.75" customHeight="1" s="134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5.75" customHeight="1" s="134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5.75" customHeight="1" s="134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5.75" customHeight="1" s="134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5.75" customHeight="1" s="134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5.75" customHeight="1" s="134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5.75" customHeight="1" s="134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5.75" customHeight="1" s="13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5.75" customHeight="1" s="134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5.75" customHeight="1" s="134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5.75" customHeight="1" s="134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5.75" customHeight="1" s="134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5.75" customHeight="1" s="134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5.75" customHeight="1" s="134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5.75" customHeight="1" s="134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5.75" customHeight="1" s="134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5.75" customHeight="1" s="134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5.75" customHeight="1" s="13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5.75" customHeight="1" s="134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5.75" customHeight="1" s="134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5.75" customHeight="1" s="134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5.75" customHeight="1" s="134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5.75" customHeight="1" s="134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5.75" customHeight="1" s="134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5.75" customHeight="1" s="134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5.75" customHeight="1" s="134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5.75" customHeight="1" s="134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5.75" customHeight="1" s="13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5.75" customHeight="1" s="134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5.75" customHeight="1" s="134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5.75" customHeight="1" s="134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5.75" customHeight="1" s="134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5.75" customHeight="1" s="134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5.75" customHeight="1" s="134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5.75" customHeight="1" s="134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5.75" customHeight="1" s="134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5.75" customHeight="1" s="134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5.75" customHeight="1" s="13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5.75" customHeight="1" s="134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5.75" customHeight="1" s="134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5.75" customHeight="1" s="134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5.75" customHeight="1" s="134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5.75" customHeight="1" s="134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5.75" customHeight="1" s="134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5.75" customHeight="1" s="134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5.75" customHeight="1" s="134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5.75" customHeight="1" s="134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5.75" customHeight="1" s="13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5.75" customHeight="1" s="134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5.75" customHeight="1" s="134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5.75" customHeight="1" s="134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5.75" customHeight="1" s="134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5.75" customHeight="1" s="134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5.75" customHeight="1" s="134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5.75" customHeight="1" s="134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5.75" customHeight="1" s="134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5.75" customHeight="1" s="134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5.75" customHeight="1" s="13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5.75" customHeight="1" s="134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5.75" customHeight="1" s="134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5.75" customHeight="1" s="134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5.75" customHeight="1" s="134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5.75" customHeight="1" s="134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5.75" customHeight="1" s="134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5.75" customHeight="1" s="134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5.75" customHeight="1" s="134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5.75" customHeight="1" s="134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5.75" customHeight="1" s="13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5.75" customHeight="1" s="134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5.75" customHeight="1" s="134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5.75" customHeight="1" s="134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5.75" customHeight="1" s="134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5.75" customHeight="1" s="134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5.75" customHeight="1" s="134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5.75" customHeight="1" s="134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5.75" customHeight="1" s="134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5.75" customHeight="1" s="134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5.75" customHeight="1" s="13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5.75" customHeight="1" s="134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5.75" customHeight="1" s="134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5.75" customHeight="1" s="134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5.75" customHeight="1" s="134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5.75" customHeight="1" s="134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5.75" customHeight="1" s="134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5.75" customHeight="1" s="134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5.75" customHeight="1" s="134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5.75" customHeight="1" s="134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5.75" customHeight="1" s="1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5.75" customHeight="1" s="134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5.75" customHeight="1" s="134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5.75" customHeight="1" s="134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5.75" customHeight="1" s="134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5.75" customHeight="1" s="134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5.75" customHeight="1" s="134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5.75" customHeight="1" s="134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5.75" customHeight="1" s="134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5.75" customHeight="1" s="134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5.75" customHeight="1" s="13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5.75" customHeight="1" s="134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5.75" customHeight="1" s="134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5.75" customHeight="1" s="134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5.75" customHeight="1" s="134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5.75" customHeight="1" s="134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5.75" customHeight="1" s="134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5.75" customHeight="1" s="134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5.75" customHeight="1" s="134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5.75" customHeight="1" s="134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5.75" customHeight="1" s="13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5.75" customHeight="1" s="134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5.75" customHeight="1" s="134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5.75" customHeight="1" s="134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5.75" customHeight="1" s="134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5.75" customHeight="1" s="134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5.75" customHeight="1" s="134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5.75" customHeight="1" s="134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5.75" customHeight="1" s="134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5.75" customHeight="1" s="134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5.75" customHeight="1" s="13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5.75" customHeight="1" s="134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5.75" customHeight="1" s="134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5.75" customHeight="1" s="134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5.75" customHeight="1" s="134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5.75" customHeight="1" s="134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5.75" customHeight="1" s="134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5.75" customHeight="1" s="134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5.75" customHeight="1" s="134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5.75" customHeight="1" s="134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5.75" customHeight="1" s="13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5.75" customHeight="1" s="134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5.75" customHeight="1" s="134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5.75" customHeight="1" s="134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5.75" customHeight="1" s="134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5.75" customHeight="1" s="134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5.75" customHeight="1" s="134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5.75" customHeight="1" s="134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5.75" customHeight="1" s="134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5.75" customHeight="1" s="134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5.75" customHeight="1" s="13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5.75" customHeight="1" s="134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5.75" customHeight="1" s="134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5.75" customHeight="1" s="134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5.75" customHeight="1" s="134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5.75" customHeight="1" s="134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5.75" customHeight="1" s="134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5.75" customHeight="1" s="134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5.75" customHeight="1" s="134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5.75" customHeight="1" s="134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5.75" customHeight="1" s="13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5.75" customHeight="1" s="134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5.75" customHeight="1" s="134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5.75" customHeight="1" s="134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5.75" customHeight="1" s="134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5.75" customHeight="1" s="134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5.75" customHeight="1" s="134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mergeCells count="26">
    <mergeCell ref="I32:I33"/>
    <mergeCell ref="I30:I31"/>
    <mergeCell ref="C12:C14"/>
    <mergeCell ref="A11:B11"/>
    <mergeCell ref="C17:C19"/>
    <mergeCell ref="A24:N24"/>
    <mergeCell ref="D6:D9"/>
    <mergeCell ref="D11:D14"/>
    <mergeCell ref="A36:N36"/>
    <mergeCell ref="A6:B6"/>
    <mergeCell ref="I26:I27"/>
    <mergeCell ref="I28:I29"/>
    <mergeCell ref="C7:C9"/>
    <mergeCell ref="A16:B16"/>
    <mergeCell ref="E28:E29"/>
    <mergeCell ref="G28:G29"/>
    <mergeCell ref="A3:B3"/>
    <mergeCell ref="E30:E31"/>
    <mergeCell ref="G30:G31"/>
    <mergeCell ref="E32:E33"/>
    <mergeCell ref="D21:G21"/>
    <mergeCell ref="E26:E27"/>
    <mergeCell ref="G32:G33"/>
    <mergeCell ref="G26:G27"/>
    <mergeCell ref="A1:F1"/>
    <mergeCell ref="D4:G4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3" topLeftCell="A14" activePane="bottomLeft" state="frozen"/>
      <selection pane="bottomLeft" activeCell="B15" sqref="B15"/>
    </sheetView>
  </sheetViews>
  <sheetFormatPr baseColWidth="8" defaultColWidth="14.43" defaultRowHeight="15" customHeight="1" outlineLevelRow="1"/>
  <cols>
    <col width="23.43" customWidth="1" style="134" min="1" max="1"/>
    <col width="18.71" customWidth="1" style="134" min="2" max="2"/>
    <col width="12" customWidth="1" style="134" min="3" max="4"/>
    <col width="14" customWidth="1" style="134" min="5" max="5"/>
    <col width="12" customWidth="1" style="134" min="6" max="6"/>
    <col width="14" customWidth="1" style="134" min="7" max="7"/>
    <col width="8.710000000000001" customWidth="1" style="134" min="8" max="8"/>
    <col width="12.71" customWidth="1" style="134" min="9" max="9"/>
    <col width="8.710000000000001" customWidth="1" style="134" min="10" max="26"/>
  </cols>
  <sheetData>
    <row r="1">
      <c r="A1" s="3" t="inlineStr">
        <is>
          <t>КПИ управляющей — калькулятор</t>
        </is>
      </c>
      <c r="G1" s="100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s="100" t="n"/>
      <c r="B2" s="100" t="n"/>
      <c r="C2" s="100" t="n"/>
      <c r="D2" s="100" t="n"/>
      <c r="E2" s="100" t="n"/>
      <c r="F2" s="100" t="n"/>
      <c r="G2" s="100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17" t="inlineStr">
        <is>
          <t>Правила начисления (жёлтые — можно менять)</t>
        </is>
      </c>
      <c r="C3" s="116" t="inlineStr">
        <is>
          <t>Сейчас</t>
        </is>
      </c>
      <c r="D3" s="100" t="n"/>
      <c r="E3" s="100" t="n"/>
      <c r="F3" s="100" t="n"/>
      <c r="G3" s="100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5" t="inlineStr">
        <is>
          <t>Фикс</t>
        </is>
      </c>
      <c r="B4" s="103" t="n">
        <v>50000</v>
      </c>
      <c r="C4" s="117" t="n">
        <v>50000</v>
      </c>
      <c r="D4" s="100" t="n"/>
      <c r="E4" s="100" t="n"/>
      <c r="F4" s="100" t="n"/>
      <c r="G4" s="100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00" t="n"/>
      <c r="B5" s="100" t="n"/>
      <c r="C5" s="100" t="n"/>
      <c r="D5" s="100" t="n"/>
      <c r="E5" s="100" t="n"/>
      <c r="F5" s="100" t="n"/>
      <c r="G5" s="100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7" t="inlineStr">
        <is>
          <t>КПИ от плана продаж (выручка «Остальных» мастеров, без Эльвиры)</t>
        </is>
      </c>
      <c r="C6" s="116" t="inlineStr">
        <is>
          <t>Сейчас</t>
        </is>
      </c>
      <c r="D6" s="100" t="n"/>
      <c r="E6" s="100" t="n"/>
      <c r="F6" s="100" t="n"/>
      <c r="G6" s="100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5" t="inlineStr">
        <is>
          <t>ниже 85% плана</t>
        </is>
      </c>
      <c r="B7" s="119" t="n">
        <v>0</v>
      </c>
      <c r="C7" s="118" t="n">
        <v>0.02</v>
      </c>
      <c r="D7" s="100" t="n"/>
      <c r="E7" s="100" t="n"/>
      <c r="F7" s="100" t="n"/>
      <c r="G7" s="100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5" t="inlineStr">
        <is>
          <t>85-99% плана</t>
        </is>
      </c>
      <c r="B8" s="119" t="n">
        <v>0.01</v>
      </c>
      <c r="D8" s="100" t="n"/>
      <c r="E8" s="100" t="n"/>
      <c r="F8" s="100" t="n"/>
      <c r="G8" s="100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5" t="inlineStr">
        <is>
          <t>100% плана и выше</t>
        </is>
      </c>
      <c r="B9" s="119" t="n">
        <v>0.02</v>
      </c>
      <c r="D9" s="100" t="n"/>
      <c r="E9" s="100" t="n"/>
      <c r="F9" s="100" t="n"/>
      <c r="G9" s="100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00" t="n"/>
      <c r="B10" s="100" t="n"/>
      <c r="C10" s="100" t="n"/>
      <c r="D10" s="100" t="n"/>
      <c r="E10" s="100" t="n"/>
      <c r="F10" s="100" t="n"/>
      <c r="G10" s="100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00" t="n"/>
      <c r="B11" s="100" t="n"/>
      <c r="C11" s="100" t="n"/>
      <c r="D11" s="100" t="n"/>
      <c r="E11" s="100" t="n"/>
      <c r="F11" s="100" t="n"/>
      <c r="G11" s="100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3" t="inlineStr">
        <is>
          <t>Расчёт по месяцам</t>
        </is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47" t="inlineStr">
        <is>
          <t>Месяц</t>
        </is>
      </c>
      <c r="B13" s="47" t="inlineStr">
        <is>
          <t>Выручка «Остальные», ₽</t>
        </is>
      </c>
      <c r="C13" s="47" t="inlineStr">
        <is>
          <t>% плана</t>
        </is>
      </c>
      <c r="D13" s="47" t="inlineStr">
        <is>
          <t>Ставка КПИ</t>
        </is>
      </c>
      <c r="E13" s="47" t="inlineStr">
        <is>
          <t>КПИ, ₽</t>
        </is>
      </c>
      <c r="F13" s="47" t="inlineStr">
        <is>
          <t>Фикс, ₽</t>
        </is>
      </c>
      <c r="G13" s="47" t="inlineStr">
        <is>
          <t>ИТОГО, ₽</t>
        </is>
      </c>
      <c r="H13" s="5" t="n"/>
      <c r="I13" s="120" t="inlineStr">
        <is>
          <t>Сейчас</t>
        </is>
      </c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inlineStr">
        <is>
          <t>Сентябрь</t>
        </is>
      </c>
      <c r="B14" s="21">
        <f>C14*B22</f>
        <v/>
      </c>
      <c r="C14" s="22" t="n">
        <v>0.9</v>
      </c>
      <c r="D14" s="22">
        <f>IF(C14&lt;0.85,$B$7,IF(C14&lt;1,$B$8,$B$9))</f>
        <v/>
      </c>
      <c r="E14" s="21">
        <f>B14*D14</f>
        <v/>
      </c>
      <c r="F14" s="21">
        <f>$B$4</f>
        <v/>
      </c>
      <c r="G14" s="18">
        <f>E14+F14</f>
        <v/>
      </c>
      <c r="H14" s="5" t="n"/>
      <c r="I14" s="121">
        <f>C4+C7*B14</f>
        <v/>
      </c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inlineStr">
        <is>
          <t>Октябрь</t>
        </is>
      </c>
      <c r="B15" s="21">
        <f>C15*B23</f>
        <v/>
      </c>
      <c r="C15" s="22" t="n">
        <v>0.9</v>
      </c>
      <c r="D15" s="22">
        <f>IF(C15&lt;0.85,$B$7,IF(C15&lt;1,$B$8,$B$9))</f>
        <v/>
      </c>
      <c r="E15" s="21">
        <f>B15*D15</f>
        <v/>
      </c>
      <c r="F15" s="21">
        <f>$B$4</f>
        <v/>
      </c>
      <c r="G15" s="18">
        <f>E15+F15</f>
        <v/>
      </c>
      <c r="H15" s="5" t="n"/>
      <c r="I15" s="121">
        <f>C4+C7*B15</f>
        <v/>
      </c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inlineStr">
        <is>
          <t>Ноябрь</t>
        </is>
      </c>
      <c r="B16" s="21">
        <f>C16*B24</f>
        <v/>
      </c>
      <c r="C16" s="22" t="n">
        <v>1.05</v>
      </c>
      <c r="D16" s="22">
        <f>IF(C16&lt;0.85,$B$7,IF(C16&lt;1,$B$8,$B$9))</f>
        <v/>
      </c>
      <c r="E16" s="21">
        <f>B16*D16</f>
        <v/>
      </c>
      <c r="F16" s="21">
        <f>$B$4</f>
        <v/>
      </c>
      <c r="G16" s="18">
        <f>E16+F16</f>
        <v/>
      </c>
      <c r="H16" s="5" t="n"/>
      <c r="I16" s="121">
        <f>C4+C7*B16</f>
        <v/>
      </c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00" t="inlineStr">
        <is>
          <t>Декабрь</t>
        </is>
      </c>
      <c r="B17" s="21">
        <f>C17*B25</f>
        <v/>
      </c>
      <c r="C17" s="22" t="n">
        <v>1.15</v>
      </c>
      <c r="D17" s="22">
        <f>IF(C17&lt;0.85,$B$7,IF(C17&lt;1,$B$8,$B$9))</f>
        <v/>
      </c>
      <c r="E17" s="21">
        <f>B17*D17</f>
        <v/>
      </c>
      <c r="F17" s="21">
        <f>$B$4</f>
        <v/>
      </c>
      <c r="G17" s="18">
        <f>E17+F17</f>
        <v/>
      </c>
      <c r="H17" s="5" t="n"/>
      <c r="I17" s="121">
        <f>C4+C7*B17</f>
        <v/>
      </c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00" t="n"/>
      <c r="B18" s="100" t="n"/>
      <c r="C18" s="100" t="n"/>
      <c r="D18" s="100" t="n"/>
      <c r="E18" s="100" t="n"/>
      <c r="F18" s="100" t="n"/>
      <c r="G18" s="100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45" customHeight="1" s="134">
      <c r="A19" s="23" t="inlineStr">
        <is>
          <t>«План» = база 960 140 ₽ (среднее июнь-июль) — с сентября будет расти на 10%/мес по модели с листа «ПРОГНОЗ», тогда обновлю базу на актуальный план того месяца, а не константу.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00" t="n"/>
      <c r="B20" s="100" t="n"/>
      <c r="C20" s="100" t="n"/>
      <c r="D20" s="100" t="n"/>
      <c r="E20" s="100" t="n"/>
      <c r="F20" s="100" t="n"/>
      <c r="G20" s="100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34">
      <c r="A21" s="47" t="inlineStr">
        <is>
          <t>Месяц</t>
        </is>
      </c>
      <c r="B21" s="47" t="inlineStr">
        <is>
          <t>ПЛАН продаж</t>
        </is>
      </c>
      <c r="C21" s="100" t="n"/>
      <c r="D21" s="100" t="n"/>
      <c r="E21" s="100" t="n"/>
      <c r="F21" s="100" t="n"/>
      <c r="G21" s="100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34">
      <c r="A22" s="5" t="inlineStr">
        <is>
          <t>Сентябрь</t>
        </is>
      </c>
      <c r="B22" s="21">
        <f>960140*1.1</f>
        <v/>
      </c>
      <c r="C22" s="100" t="n"/>
      <c r="D22" s="100" t="n"/>
      <c r="E22" s="100" t="n"/>
      <c r="F22" s="100" t="n"/>
      <c r="G22" s="100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34">
      <c r="A23" s="5" t="inlineStr">
        <is>
          <t>Октябрь</t>
        </is>
      </c>
      <c r="B23" s="21">
        <f>B22*1.1</f>
        <v/>
      </c>
      <c r="C23" s="100" t="n"/>
      <c r="D23" s="100" t="n"/>
      <c r="E23" s="100" t="n"/>
      <c r="F23" s="100" t="n"/>
      <c r="G23" s="100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34">
      <c r="A24" s="5" t="inlineStr">
        <is>
          <t>Ноябрь</t>
        </is>
      </c>
      <c r="B24" s="21">
        <f>B23*1.1</f>
        <v/>
      </c>
      <c r="C24" s="100" t="n"/>
      <c r="D24" s="100" t="n"/>
      <c r="E24" s="100" t="n"/>
      <c r="F24" s="100" t="n"/>
      <c r="G24" s="100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34">
      <c r="A25" s="100" t="inlineStr">
        <is>
          <t>Декабрь</t>
        </is>
      </c>
      <c r="B25" s="21">
        <f>B24*1.1</f>
        <v/>
      </c>
      <c r="C25" s="100" t="n"/>
      <c r="D25" s="100" t="n"/>
      <c r="E25" s="100" t="n"/>
      <c r="F25" s="100" t="n"/>
      <c r="G25" s="100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34">
      <c r="A26" s="100" t="n"/>
      <c r="B26" s="100" t="n"/>
      <c r="C26" s="100" t="n"/>
      <c r="D26" s="100" t="n"/>
      <c r="E26" s="100" t="n"/>
      <c r="F26" s="100" t="n"/>
      <c r="G26" s="100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34">
      <c r="A27" s="100" t="n"/>
      <c r="B27" s="100" t="n"/>
      <c r="C27" s="100" t="n"/>
      <c r="D27" s="100" t="n"/>
      <c r="E27" s="100" t="n"/>
      <c r="F27" s="100" t="n"/>
      <c r="G27" s="100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34">
      <c r="A28" s="100" t="n"/>
      <c r="B28" s="100" t="n"/>
      <c r="C28" s="100" t="n"/>
      <c r="D28" s="100" t="n"/>
      <c r="E28" s="100" t="n"/>
      <c r="F28" s="100" t="n"/>
      <c r="G28" s="100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34">
      <c r="A29" s="100" t="n"/>
      <c r="B29" s="100" t="n"/>
      <c r="C29" s="100" t="n"/>
      <c r="D29" s="100" t="n"/>
      <c r="E29" s="100" t="n"/>
      <c r="F29" s="100" t="n"/>
      <c r="G29" s="100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34">
      <c r="A30" s="100" t="n"/>
      <c r="B30" s="100" t="n"/>
      <c r="C30" s="100" t="n"/>
      <c r="D30" s="100" t="n"/>
      <c r="E30" s="100" t="n"/>
      <c r="F30" s="100" t="n"/>
      <c r="G30" s="100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34">
      <c r="A31" s="100" t="n"/>
      <c r="B31" s="100" t="n"/>
      <c r="C31" s="100" t="n"/>
      <c r="D31" s="100" t="n"/>
      <c r="E31" s="100" t="n"/>
      <c r="F31" s="100" t="n"/>
      <c r="G31" s="100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34">
      <c r="A32" s="100" t="n"/>
      <c r="B32" s="100" t="n"/>
      <c r="C32" s="100" t="n"/>
      <c r="D32" s="100" t="n"/>
      <c r="E32" s="100" t="n"/>
      <c r="F32" s="100" t="n"/>
      <c r="G32" s="100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34">
      <c r="A33" s="100" t="n"/>
      <c r="B33" s="100" t="n"/>
      <c r="C33" s="100" t="n"/>
      <c r="D33" s="100" t="n"/>
      <c r="E33" s="100" t="n"/>
      <c r="F33" s="100" t="n"/>
      <c r="G33" s="100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34">
      <c r="A34" s="100" t="n"/>
      <c r="B34" s="100" t="n"/>
      <c r="C34" s="100" t="n"/>
      <c r="D34" s="100" t="n"/>
      <c r="E34" s="100" t="n"/>
      <c r="F34" s="100" t="n"/>
      <c r="G34" s="100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34">
      <c r="A35" s="100" t="n"/>
      <c r="B35" s="100" t="n"/>
      <c r="C35" s="100" t="n"/>
      <c r="D35" s="100" t="n"/>
      <c r="E35" s="100" t="n"/>
      <c r="F35" s="100" t="n"/>
      <c r="G35" s="100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34">
      <c r="A36" s="100" t="n"/>
      <c r="B36" s="100" t="n"/>
      <c r="C36" s="100" t="n"/>
      <c r="D36" s="100" t="n"/>
      <c r="E36" s="100" t="n"/>
      <c r="F36" s="100" t="n"/>
      <c r="G36" s="100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34">
      <c r="A37" s="100" t="n"/>
      <c r="B37" s="100" t="n"/>
      <c r="C37" s="100" t="n"/>
      <c r="D37" s="100" t="n"/>
      <c r="E37" s="100" t="n"/>
      <c r="F37" s="100" t="n"/>
      <c r="G37" s="100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34">
      <c r="A38" s="100" t="n"/>
      <c r="B38" s="100" t="n"/>
      <c r="C38" s="100" t="n"/>
      <c r="D38" s="100" t="n"/>
      <c r="E38" s="100" t="n"/>
      <c r="F38" s="100" t="n"/>
      <c r="G38" s="100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34">
      <c r="A39" s="100" t="n"/>
      <c r="B39" s="100" t="n"/>
      <c r="C39" s="100" t="n"/>
      <c r="D39" s="100" t="n"/>
      <c r="E39" s="100" t="n"/>
      <c r="F39" s="100" t="n"/>
      <c r="G39" s="100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34">
      <c r="A40" s="100" t="n"/>
      <c r="B40" s="100" t="n"/>
      <c r="C40" s="100" t="n"/>
      <c r="D40" s="100" t="n"/>
      <c r="E40" s="100" t="n"/>
      <c r="F40" s="100" t="n"/>
      <c r="G40" s="100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34">
      <c r="A41" s="100" t="n"/>
      <c r="B41" s="100" t="n"/>
      <c r="C41" s="100" t="n"/>
      <c r="D41" s="100" t="n"/>
      <c r="E41" s="100" t="n"/>
      <c r="F41" s="100" t="n"/>
      <c r="G41" s="100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34">
      <c r="A42" s="100" t="n"/>
      <c r="B42" s="100" t="n"/>
      <c r="C42" s="100" t="n"/>
      <c r="D42" s="100" t="n"/>
      <c r="E42" s="100" t="n"/>
      <c r="F42" s="100" t="n"/>
      <c r="G42" s="100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34">
      <c r="A43" s="100" t="n"/>
      <c r="B43" s="100" t="n"/>
      <c r="C43" s="100" t="n"/>
      <c r="D43" s="100" t="n"/>
      <c r="E43" s="100" t="n"/>
      <c r="F43" s="100" t="n"/>
      <c r="G43" s="100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34">
      <c r="A44" s="100" t="n"/>
      <c r="B44" s="100" t="n"/>
      <c r="C44" s="100" t="n"/>
      <c r="D44" s="100" t="n"/>
      <c r="E44" s="100" t="n"/>
      <c r="F44" s="100" t="n"/>
      <c r="G44" s="100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34">
      <c r="A45" s="100" t="n"/>
      <c r="B45" s="100" t="n"/>
      <c r="C45" s="100" t="n"/>
      <c r="D45" s="100" t="n"/>
      <c r="E45" s="100" t="n"/>
      <c r="F45" s="100" t="n"/>
      <c r="G45" s="100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34">
      <c r="A46" s="100" t="n"/>
      <c r="B46" s="100" t="n"/>
      <c r="C46" s="100" t="n"/>
      <c r="D46" s="100" t="n"/>
      <c r="E46" s="100" t="n"/>
      <c r="F46" s="100" t="n"/>
      <c r="G46" s="100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34">
      <c r="A47" s="100" t="n"/>
      <c r="B47" s="100" t="n"/>
      <c r="C47" s="100" t="n"/>
      <c r="D47" s="100" t="n"/>
      <c r="E47" s="100" t="n"/>
      <c r="F47" s="100" t="n"/>
      <c r="G47" s="100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34">
      <c r="A48" s="100" t="n"/>
      <c r="B48" s="100" t="n"/>
      <c r="C48" s="100" t="n"/>
      <c r="D48" s="100" t="n"/>
      <c r="E48" s="100" t="n"/>
      <c r="F48" s="100" t="n"/>
      <c r="G48" s="100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34">
      <c r="A49" s="100" t="n"/>
      <c r="B49" s="100" t="n"/>
      <c r="C49" s="100" t="n"/>
      <c r="D49" s="100" t="n"/>
      <c r="E49" s="100" t="n"/>
      <c r="F49" s="100" t="n"/>
      <c r="G49" s="100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34">
      <c r="A50" s="100" t="n"/>
      <c r="B50" s="100" t="n"/>
      <c r="C50" s="100" t="n"/>
      <c r="D50" s="100" t="n"/>
      <c r="E50" s="100" t="n"/>
      <c r="F50" s="100" t="n"/>
      <c r="G50" s="100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34">
      <c r="A51" s="100" t="n"/>
      <c r="B51" s="100" t="n"/>
      <c r="C51" s="100" t="n"/>
      <c r="D51" s="100" t="n"/>
      <c r="E51" s="100" t="n"/>
      <c r="F51" s="100" t="n"/>
      <c r="G51" s="100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34">
      <c r="A52" s="100" t="n"/>
      <c r="B52" s="100" t="n"/>
      <c r="C52" s="100" t="n"/>
      <c r="D52" s="100" t="n"/>
      <c r="E52" s="100" t="n"/>
      <c r="F52" s="100" t="n"/>
      <c r="G52" s="100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34">
      <c r="A53" s="100" t="n"/>
      <c r="B53" s="100" t="n"/>
      <c r="C53" s="100" t="n"/>
      <c r="D53" s="100" t="n"/>
      <c r="E53" s="100" t="n"/>
      <c r="F53" s="100" t="n"/>
      <c r="G53" s="100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34">
      <c r="A54" s="100" t="n"/>
      <c r="B54" s="100" t="n"/>
      <c r="C54" s="100" t="n"/>
      <c r="D54" s="100" t="n"/>
      <c r="E54" s="100" t="n"/>
      <c r="F54" s="100" t="n"/>
      <c r="G54" s="100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34">
      <c r="A55" s="100" t="n"/>
      <c r="B55" s="100" t="n"/>
      <c r="C55" s="100" t="n"/>
      <c r="D55" s="100" t="n"/>
      <c r="E55" s="100" t="n"/>
      <c r="F55" s="100" t="n"/>
      <c r="G55" s="100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34">
      <c r="A56" s="100" t="n"/>
      <c r="B56" s="100" t="n"/>
      <c r="C56" s="100" t="n"/>
      <c r="D56" s="100" t="n"/>
      <c r="E56" s="100" t="n"/>
      <c r="F56" s="100" t="n"/>
      <c r="G56" s="100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34">
      <c r="A57" s="100" t="n"/>
      <c r="B57" s="100" t="n"/>
      <c r="C57" s="100" t="n"/>
      <c r="D57" s="100" t="n"/>
      <c r="E57" s="100" t="n"/>
      <c r="F57" s="100" t="n"/>
      <c r="G57" s="100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34">
      <c r="A58" s="100" t="n"/>
      <c r="B58" s="100" t="n"/>
      <c r="C58" s="100" t="n"/>
      <c r="D58" s="100" t="n"/>
      <c r="E58" s="100" t="n"/>
      <c r="F58" s="100" t="n"/>
      <c r="G58" s="100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34">
      <c r="A59" s="100" t="n"/>
      <c r="B59" s="100" t="n"/>
      <c r="C59" s="100" t="n"/>
      <c r="D59" s="100" t="n"/>
      <c r="E59" s="100" t="n"/>
      <c r="F59" s="100" t="n"/>
      <c r="G59" s="100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34">
      <c r="A60" s="100" t="n"/>
      <c r="B60" s="100" t="n"/>
      <c r="C60" s="100" t="n"/>
      <c r="D60" s="100" t="n"/>
      <c r="E60" s="100" t="n"/>
      <c r="F60" s="100" t="n"/>
      <c r="G60" s="100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34">
      <c r="A61" s="100" t="n"/>
      <c r="B61" s="100" t="n"/>
      <c r="C61" s="100" t="n"/>
      <c r="D61" s="100" t="n"/>
      <c r="E61" s="100" t="n"/>
      <c r="F61" s="100" t="n"/>
      <c r="G61" s="100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34">
      <c r="A62" s="100" t="n"/>
      <c r="B62" s="100" t="n"/>
      <c r="C62" s="100" t="n"/>
      <c r="D62" s="100" t="n"/>
      <c r="E62" s="100" t="n"/>
      <c r="F62" s="100" t="n"/>
      <c r="G62" s="100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34">
      <c r="A63" s="100" t="n"/>
      <c r="B63" s="100" t="n"/>
      <c r="C63" s="100" t="n"/>
      <c r="D63" s="100" t="n"/>
      <c r="E63" s="100" t="n"/>
      <c r="F63" s="100" t="n"/>
      <c r="G63" s="100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34">
      <c r="A64" s="100" t="n"/>
      <c r="B64" s="100" t="n"/>
      <c r="C64" s="100" t="n"/>
      <c r="D64" s="100" t="n"/>
      <c r="E64" s="100" t="n"/>
      <c r="F64" s="100" t="n"/>
      <c r="G64" s="100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34">
      <c r="A65" s="100" t="n"/>
      <c r="B65" s="100" t="n"/>
      <c r="C65" s="100" t="n"/>
      <c r="D65" s="100" t="n"/>
      <c r="E65" s="100" t="n"/>
      <c r="F65" s="100" t="n"/>
      <c r="G65" s="100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34">
      <c r="A66" s="100" t="n"/>
      <c r="B66" s="100" t="n"/>
      <c r="C66" s="100" t="n"/>
      <c r="D66" s="100" t="n"/>
      <c r="E66" s="100" t="n"/>
      <c r="F66" s="100" t="n"/>
      <c r="G66" s="100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34">
      <c r="A67" s="100" t="n"/>
      <c r="B67" s="100" t="n"/>
      <c r="C67" s="100" t="n"/>
      <c r="D67" s="100" t="n"/>
      <c r="E67" s="100" t="n"/>
      <c r="F67" s="100" t="n"/>
      <c r="G67" s="100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34">
      <c r="A68" s="100" t="n"/>
      <c r="B68" s="100" t="n"/>
      <c r="C68" s="100" t="n"/>
      <c r="D68" s="100" t="n"/>
      <c r="E68" s="100" t="n"/>
      <c r="F68" s="100" t="n"/>
      <c r="G68" s="100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34">
      <c r="A69" s="100" t="n"/>
      <c r="B69" s="100" t="n"/>
      <c r="C69" s="100" t="n"/>
      <c r="D69" s="100" t="n"/>
      <c r="E69" s="100" t="n"/>
      <c r="F69" s="100" t="n"/>
      <c r="G69" s="100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34">
      <c r="A70" s="100" t="n"/>
      <c r="B70" s="100" t="n"/>
      <c r="C70" s="100" t="n"/>
      <c r="D70" s="100" t="n"/>
      <c r="E70" s="100" t="n"/>
      <c r="F70" s="100" t="n"/>
      <c r="G70" s="100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34">
      <c r="A71" s="100" t="n"/>
      <c r="B71" s="100" t="n"/>
      <c r="C71" s="100" t="n"/>
      <c r="D71" s="100" t="n"/>
      <c r="E71" s="100" t="n"/>
      <c r="F71" s="100" t="n"/>
      <c r="G71" s="100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34">
      <c r="A72" s="100" t="n"/>
      <c r="B72" s="100" t="n"/>
      <c r="C72" s="100" t="n"/>
      <c r="D72" s="100" t="n"/>
      <c r="E72" s="100" t="n"/>
      <c r="F72" s="100" t="n"/>
      <c r="G72" s="100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34">
      <c r="A73" s="100" t="n"/>
      <c r="B73" s="100" t="n"/>
      <c r="C73" s="100" t="n"/>
      <c r="D73" s="100" t="n"/>
      <c r="E73" s="100" t="n"/>
      <c r="F73" s="100" t="n"/>
      <c r="G73" s="100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34">
      <c r="A74" s="100" t="n"/>
      <c r="B74" s="100" t="n"/>
      <c r="C74" s="100" t="n"/>
      <c r="D74" s="100" t="n"/>
      <c r="E74" s="100" t="n"/>
      <c r="F74" s="100" t="n"/>
      <c r="G74" s="100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34">
      <c r="A75" s="100" t="n"/>
      <c r="B75" s="100" t="n"/>
      <c r="C75" s="100" t="n"/>
      <c r="D75" s="100" t="n"/>
      <c r="E75" s="100" t="n"/>
      <c r="F75" s="100" t="n"/>
      <c r="G75" s="100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34">
      <c r="A76" s="100" t="n"/>
      <c r="B76" s="100" t="n"/>
      <c r="C76" s="100" t="n"/>
      <c r="D76" s="100" t="n"/>
      <c r="E76" s="100" t="n"/>
      <c r="F76" s="100" t="n"/>
      <c r="G76" s="100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34">
      <c r="A77" s="100" t="n"/>
      <c r="B77" s="100" t="n"/>
      <c r="C77" s="100" t="n"/>
      <c r="D77" s="100" t="n"/>
      <c r="E77" s="100" t="n"/>
      <c r="F77" s="100" t="n"/>
      <c r="G77" s="100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34">
      <c r="A78" s="100" t="n"/>
      <c r="B78" s="100" t="n"/>
      <c r="C78" s="100" t="n"/>
      <c r="D78" s="100" t="n"/>
      <c r="E78" s="100" t="n"/>
      <c r="F78" s="100" t="n"/>
      <c r="G78" s="100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34">
      <c r="A79" s="100" t="n"/>
      <c r="B79" s="100" t="n"/>
      <c r="C79" s="100" t="n"/>
      <c r="D79" s="100" t="n"/>
      <c r="E79" s="100" t="n"/>
      <c r="F79" s="100" t="n"/>
      <c r="G79" s="100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34">
      <c r="A80" s="100" t="n"/>
      <c r="B80" s="100" t="n"/>
      <c r="C80" s="100" t="n"/>
      <c r="D80" s="100" t="n"/>
      <c r="E80" s="100" t="n"/>
      <c r="F80" s="100" t="n"/>
      <c r="G80" s="100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34">
      <c r="A81" s="100" t="n"/>
      <c r="B81" s="100" t="n"/>
      <c r="C81" s="100" t="n"/>
      <c r="D81" s="100" t="n"/>
      <c r="E81" s="100" t="n"/>
      <c r="F81" s="100" t="n"/>
      <c r="G81" s="100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34">
      <c r="A82" s="100" t="n"/>
      <c r="B82" s="100" t="n"/>
      <c r="C82" s="100" t="n"/>
      <c r="D82" s="100" t="n"/>
      <c r="E82" s="100" t="n"/>
      <c r="F82" s="100" t="n"/>
      <c r="G82" s="100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34">
      <c r="A83" s="100" t="n"/>
      <c r="B83" s="100" t="n"/>
      <c r="C83" s="100" t="n"/>
      <c r="D83" s="100" t="n"/>
      <c r="E83" s="100" t="n"/>
      <c r="F83" s="100" t="n"/>
      <c r="G83" s="100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34">
      <c r="A84" s="100" t="n"/>
      <c r="B84" s="100" t="n"/>
      <c r="C84" s="100" t="n"/>
      <c r="D84" s="100" t="n"/>
      <c r="E84" s="100" t="n"/>
      <c r="F84" s="100" t="n"/>
      <c r="G84" s="100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34">
      <c r="A85" s="100" t="n"/>
      <c r="B85" s="100" t="n"/>
      <c r="C85" s="100" t="n"/>
      <c r="D85" s="100" t="n"/>
      <c r="E85" s="100" t="n"/>
      <c r="F85" s="100" t="n"/>
      <c r="G85" s="100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34">
      <c r="A86" s="100" t="n"/>
      <c r="B86" s="100" t="n"/>
      <c r="C86" s="100" t="n"/>
      <c r="D86" s="100" t="n"/>
      <c r="E86" s="100" t="n"/>
      <c r="F86" s="100" t="n"/>
      <c r="G86" s="100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34">
      <c r="A87" s="100" t="n"/>
      <c r="B87" s="100" t="n"/>
      <c r="C87" s="100" t="n"/>
      <c r="D87" s="100" t="n"/>
      <c r="E87" s="100" t="n"/>
      <c r="F87" s="100" t="n"/>
      <c r="G87" s="100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34">
      <c r="A88" s="100" t="n"/>
      <c r="B88" s="100" t="n"/>
      <c r="C88" s="100" t="n"/>
      <c r="D88" s="100" t="n"/>
      <c r="E88" s="100" t="n"/>
      <c r="F88" s="100" t="n"/>
      <c r="G88" s="100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34">
      <c r="A89" s="100" t="n"/>
      <c r="B89" s="100" t="n"/>
      <c r="C89" s="100" t="n"/>
      <c r="D89" s="100" t="n"/>
      <c r="E89" s="100" t="n"/>
      <c r="F89" s="100" t="n"/>
      <c r="G89" s="100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34">
      <c r="A90" s="100" t="n"/>
      <c r="B90" s="100" t="n"/>
      <c r="C90" s="100" t="n"/>
      <c r="D90" s="100" t="n"/>
      <c r="E90" s="100" t="n"/>
      <c r="F90" s="100" t="n"/>
      <c r="G90" s="100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34">
      <c r="A91" s="100" t="n"/>
      <c r="B91" s="100" t="n"/>
      <c r="C91" s="100" t="n"/>
      <c r="D91" s="100" t="n"/>
      <c r="E91" s="100" t="n"/>
      <c r="F91" s="100" t="n"/>
      <c r="G91" s="100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34">
      <c r="A92" s="100" t="n"/>
      <c r="B92" s="100" t="n"/>
      <c r="C92" s="100" t="n"/>
      <c r="D92" s="100" t="n"/>
      <c r="E92" s="100" t="n"/>
      <c r="F92" s="100" t="n"/>
      <c r="G92" s="100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34">
      <c r="A93" s="100" t="n"/>
      <c r="B93" s="100" t="n"/>
      <c r="C93" s="100" t="n"/>
      <c r="D93" s="100" t="n"/>
      <c r="E93" s="100" t="n"/>
      <c r="F93" s="100" t="n"/>
      <c r="G93" s="100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34">
      <c r="A94" s="100" t="n"/>
      <c r="B94" s="100" t="n"/>
      <c r="C94" s="100" t="n"/>
      <c r="D94" s="100" t="n"/>
      <c r="E94" s="100" t="n"/>
      <c r="F94" s="100" t="n"/>
      <c r="G94" s="100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34">
      <c r="A95" s="100" t="n"/>
      <c r="B95" s="100" t="n"/>
      <c r="C95" s="100" t="n"/>
      <c r="D95" s="100" t="n"/>
      <c r="E95" s="100" t="n"/>
      <c r="F95" s="100" t="n"/>
      <c r="G95" s="100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34">
      <c r="A96" s="100" t="n"/>
      <c r="B96" s="100" t="n"/>
      <c r="C96" s="100" t="n"/>
      <c r="D96" s="100" t="n"/>
      <c r="E96" s="100" t="n"/>
      <c r="F96" s="100" t="n"/>
      <c r="G96" s="100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34">
      <c r="A97" s="100" t="n"/>
      <c r="B97" s="100" t="n"/>
      <c r="C97" s="100" t="n"/>
      <c r="D97" s="100" t="n"/>
      <c r="E97" s="100" t="n"/>
      <c r="F97" s="100" t="n"/>
      <c r="G97" s="100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34">
      <c r="A98" s="100" t="n"/>
      <c r="B98" s="100" t="n"/>
      <c r="C98" s="100" t="n"/>
      <c r="D98" s="100" t="n"/>
      <c r="E98" s="100" t="n"/>
      <c r="F98" s="100" t="n"/>
      <c r="G98" s="100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34">
      <c r="A99" s="100" t="n"/>
      <c r="B99" s="100" t="n"/>
      <c r="C99" s="100" t="n"/>
      <c r="D99" s="100" t="n"/>
      <c r="E99" s="100" t="n"/>
      <c r="F99" s="100" t="n"/>
      <c r="G99" s="100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34">
      <c r="A100" s="100" t="n"/>
      <c r="B100" s="100" t="n"/>
      <c r="C100" s="100" t="n"/>
      <c r="D100" s="100" t="n"/>
      <c r="E100" s="100" t="n"/>
      <c r="F100" s="100" t="n"/>
      <c r="G100" s="100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34">
      <c r="A101" s="100" t="n"/>
      <c r="B101" s="100" t="n"/>
      <c r="C101" s="100" t="n"/>
      <c r="D101" s="100" t="n"/>
      <c r="E101" s="100" t="n"/>
      <c r="F101" s="100" t="n"/>
      <c r="G101" s="100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34">
      <c r="A102" s="100" t="n"/>
      <c r="B102" s="100" t="n"/>
      <c r="C102" s="100" t="n"/>
      <c r="D102" s="100" t="n"/>
      <c r="E102" s="100" t="n"/>
      <c r="F102" s="100" t="n"/>
      <c r="G102" s="100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34">
      <c r="A103" s="100" t="n"/>
      <c r="B103" s="100" t="n"/>
      <c r="C103" s="100" t="n"/>
      <c r="D103" s="100" t="n"/>
      <c r="E103" s="100" t="n"/>
      <c r="F103" s="100" t="n"/>
      <c r="G103" s="100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34">
      <c r="A104" s="100" t="n"/>
      <c r="B104" s="100" t="n"/>
      <c r="C104" s="100" t="n"/>
      <c r="D104" s="100" t="n"/>
      <c r="E104" s="100" t="n"/>
      <c r="F104" s="100" t="n"/>
      <c r="G104" s="100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34">
      <c r="A105" s="100" t="n"/>
      <c r="B105" s="100" t="n"/>
      <c r="C105" s="100" t="n"/>
      <c r="D105" s="100" t="n"/>
      <c r="E105" s="100" t="n"/>
      <c r="F105" s="100" t="n"/>
      <c r="G105" s="100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34">
      <c r="A106" s="100" t="n"/>
      <c r="B106" s="100" t="n"/>
      <c r="C106" s="100" t="n"/>
      <c r="D106" s="100" t="n"/>
      <c r="E106" s="100" t="n"/>
      <c r="F106" s="100" t="n"/>
      <c r="G106" s="100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34">
      <c r="A107" s="100" t="n"/>
      <c r="B107" s="100" t="n"/>
      <c r="C107" s="100" t="n"/>
      <c r="D107" s="100" t="n"/>
      <c r="E107" s="100" t="n"/>
      <c r="F107" s="100" t="n"/>
      <c r="G107" s="100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34">
      <c r="A108" s="100" t="n"/>
      <c r="B108" s="100" t="n"/>
      <c r="C108" s="100" t="n"/>
      <c r="D108" s="100" t="n"/>
      <c r="E108" s="100" t="n"/>
      <c r="F108" s="100" t="n"/>
      <c r="G108" s="100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34">
      <c r="A109" s="100" t="n"/>
      <c r="B109" s="100" t="n"/>
      <c r="C109" s="100" t="n"/>
      <c r="D109" s="100" t="n"/>
      <c r="E109" s="100" t="n"/>
      <c r="F109" s="100" t="n"/>
      <c r="G109" s="100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34">
      <c r="A110" s="100" t="n"/>
      <c r="B110" s="100" t="n"/>
      <c r="C110" s="100" t="n"/>
      <c r="D110" s="100" t="n"/>
      <c r="E110" s="100" t="n"/>
      <c r="F110" s="100" t="n"/>
      <c r="G110" s="100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34">
      <c r="A111" s="100" t="n"/>
      <c r="B111" s="100" t="n"/>
      <c r="C111" s="100" t="n"/>
      <c r="D111" s="100" t="n"/>
      <c r="E111" s="100" t="n"/>
      <c r="F111" s="100" t="n"/>
      <c r="G111" s="100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34">
      <c r="A112" s="100" t="n"/>
      <c r="B112" s="100" t="n"/>
      <c r="C112" s="100" t="n"/>
      <c r="D112" s="100" t="n"/>
      <c r="E112" s="100" t="n"/>
      <c r="F112" s="100" t="n"/>
      <c r="G112" s="100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34">
      <c r="A113" s="100" t="n"/>
      <c r="B113" s="100" t="n"/>
      <c r="C113" s="100" t="n"/>
      <c r="D113" s="100" t="n"/>
      <c r="E113" s="100" t="n"/>
      <c r="F113" s="100" t="n"/>
      <c r="G113" s="100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34">
      <c r="A114" s="100" t="n"/>
      <c r="B114" s="100" t="n"/>
      <c r="C114" s="100" t="n"/>
      <c r="D114" s="100" t="n"/>
      <c r="E114" s="100" t="n"/>
      <c r="F114" s="100" t="n"/>
      <c r="G114" s="100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34">
      <c r="A115" s="100" t="n"/>
      <c r="B115" s="100" t="n"/>
      <c r="C115" s="100" t="n"/>
      <c r="D115" s="100" t="n"/>
      <c r="E115" s="100" t="n"/>
      <c r="F115" s="100" t="n"/>
      <c r="G115" s="100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34">
      <c r="A116" s="100" t="n"/>
      <c r="B116" s="100" t="n"/>
      <c r="C116" s="100" t="n"/>
      <c r="D116" s="100" t="n"/>
      <c r="E116" s="100" t="n"/>
      <c r="F116" s="100" t="n"/>
      <c r="G116" s="100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34">
      <c r="A117" s="100" t="n"/>
      <c r="B117" s="100" t="n"/>
      <c r="C117" s="100" t="n"/>
      <c r="D117" s="100" t="n"/>
      <c r="E117" s="100" t="n"/>
      <c r="F117" s="100" t="n"/>
      <c r="G117" s="100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34">
      <c r="A118" s="100" t="n"/>
      <c r="B118" s="100" t="n"/>
      <c r="C118" s="100" t="n"/>
      <c r="D118" s="100" t="n"/>
      <c r="E118" s="100" t="n"/>
      <c r="F118" s="100" t="n"/>
      <c r="G118" s="100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34">
      <c r="A119" s="100" t="n"/>
      <c r="B119" s="100" t="n"/>
      <c r="C119" s="100" t="n"/>
      <c r="D119" s="100" t="n"/>
      <c r="E119" s="100" t="n"/>
      <c r="F119" s="100" t="n"/>
      <c r="G119" s="100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34">
      <c r="A120" s="100" t="n"/>
      <c r="B120" s="100" t="n"/>
      <c r="C120" s="100" t="n"/>
      <c r="D120" s="100" t="n"/>
      <c r="E120" s="100" t="n"/>
      <c r="F120" s="100" t="n"/>
      <c r="G120" s="100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34">
      <c r="A121" s="100" t="n"/>
      <c r="B121" s="100" t="n"/>
      <c r="C121" s="100" t="n"/>
      <c r="D121" s="100" t="n"/>
      <c r="E121" s="100" t="n"/>
      <c r="F121" s="100" t="n"/>
      <c r="G121" s="100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34">
      <c r="A122" s="100" t="n"/>
      <c r="B122" s="100" t="n"/>
      <c r="C122" s="100" t="n"/>
      <c r="D122" s="100" t="n"/>
      <c r="E122" s="100" t="n"/>
      <c r="F122" s="100" t="n"/>
      <c r="G122" s="100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34">
      <c r="A123" s="100" t="n"/>
      <c r="B123" s="100" t="n"/>
      <c r="C123" s="100" t="n"/>
      <c r="D123" s="100" t="n"/>
      <c r="E123" s="100" t="n"/>
      <c r="F123" s="100" t="n"/>
      <c r="G123" s="100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34">
      <c r="A124" s="100" t="n"/>
      <c r="B124" s="100" t="n"/>
      <c r="C124" s="100" t="n"/>
      <c r="D124" s="100" t="n"/>
      <c r="E124" s="100" t="n"/>
      <c r="F124" s="100" t="n"/>
      <c r="G124" s="100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34">
      <c r="A125" s="100" t="n"/>
      <c r="B125" s="100" t="n"/>
      <c r="C125" s="100" t="n"/>
      <c r="D125" s="100" t="n"/>
      <c r="E125" s="100" t="n"/>
      <c r="F125" s="100" t="n"/>
      <c r="G125" s="100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34">
      <c r="A126" s="100" t="n"/>
      <c r="B126" s="100" t="n"/>
      <c r="C126" s="100" t="n"/>
      <c r="D126" s="100" t="n"/>
      <c r="E126" s="100" t="n"/>
      <c r="F126" s="100" t="n"/>
      <c r="G126" s="100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34">
      <c r="A127" s="100" t="n"/>
      <c r="B127" s="100" t="n"/>
      <c r="C127" s="100" t="n"/>
      <c r="D127" s="100" t="n"/>
      <c r="E127" s="100" t="n"/>
      <c r="F127" s="100" t="n"/>
      <c r="G127" s="100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34">
      <c r="A128" s="100" t="n"/>
      <c r="B128" s="100" t="n"/>
      <c r="C128" s="100" t="n"/>
      <c r="D128" s="100" t="n"/>
      <c r="E128" s="100" t="n"/>
      <c r="F128" s="100" t="n"/>
      <c r="G128" s="100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34">
      <c r="A129" s="100" t="n"/>
      <c r="B129" s="100" t="n"/>
      <c r="C129" s="100" t="n"/>
      <c r="D129" s="100" t="n"/>
      <c r="E129" s="100" t="n"/>
      <c r="F129" s="100" t="n"/>
      <c r="G129" s="100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34">
      <c r="A130" s="100" t="n"/>
      <c r="B130" s="100" t="n"/>
      <c r="C130" s="100" t="n"/>
      <c r="D130" s="100" t="n"/>
      <c r="E130" s="100" t="n"/>
      <c r="F130" s="100" t="n"/>
      <c r="G130" s="100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34">
      <c r="A131" s="100" t="n"/>
      <c r="B131" s="100" t="n"/>
      <c r="C131" s="100" t="n"/>
      <c r="D131" s="100" t="n"/>
      <c r="E131" s="100" t="n"/>
      <c r="F131" s="100" t="n"/>
      <c r="G131" s="100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34">
      <c r="A132" s="100" t="n"/>
      <c r="B132" s="100" t="n"/>
      <c r="C132" s="100" t="n"/>
      <c r="D132" s="100" t="n"/>
      <c r="E132" s="100" t="n"/>
      <c r="F132" s="100" t="n"/>
      <c r="G132" s="100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34">
      <c r="A133" s="100" t="n"/>
      <c r="B133" s="100" t="n"/>
      <c r="C133" s="100" t="n"/>
      <c r="D133" s="100" t="n"/>
      <c r="E133" s="100" t="n"/>
      <c r="F133" s="100" t="n"/>
      <c r="G133" s="100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34">
      <c r="A134" s="100" t="n"/>
      <c r="B134" s="100" t="n"/>
      <c r="C134" s="100" t="n"/>
      <c r="D134" s="100" t="n"/>
      <c r="E134" s="100" t="n"/>
      <c r="F134" s="100" t="n"/>
      <c r="G134" s="100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34">
      <c r="A135" s="100" t="n"/>
      <c r="B135" s="100" t="n"/>
      <c r="C135" s="100" t="n"/>
      <c r="D135" s="100" t="n"/>
      <c r="E135" s="100" t="n"/>
      <c r="F135" s="100" t="n"/>
      <c r="G135" s="100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34">
      <c r="A136" s="100" t="n"/>
      <c r="B136" s="100" t="n"/>
      <c r="C136" s="100" t="n"/>
      <c r="D136" s="100" t="n"/>
      <c r="E136" s="100" t="n"/>
      <c r="F136" s="100" t="n"/>
      <c r="G136" s="100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34">
      <c r="A137" s="100" t="n"/>
      <c r="B137" s="100" t="n"/>
      <c r="C137" s="100" t="n"/>
      <c r="D137" s="100" t="n"/>
      <c r="E137" s="100" t="n"/>
      <c r="F137" s="100" t="n"/>
      <c r="G137" s="100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34">
      <c r="A138" s="100" t="n"/>
      <c r="B138" s="100" t="n"/>
      <c r="C138" s="100" t="n"/>
      <c r="D138" s="100" t="n"/>
      <c r="E138" s="100" t="n"/>
      <c r="F138" s="100" t="n"/>
      <c r="G138" s="100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34">
      <c r="A139" s="100" t="n"/>
      <c r="B139" s="100" t="n"/>
      <c r="C139" s="100" t="n"/>
      <c r="D139" s="100" t="n"/>
      <c r="E139" s="100" t="n"/>
      <c r="F139" s="100" t="n"/>
      <c r="G139" s="100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34">
      <c r="A140" s="100" t="n"/>
      <c r="B140" s="100" t="n"/>
      <c r="C140" s="100" t="n"/>
      <c r="D140" s="100" t="n"/>
      <c r="E140" s="100" t="n"/>
      <c r="F140" s="100" t="n"/>
      <c r="G140" s="100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34">
      <c r="A141" s="100" t="n"/>
      <c r="B141" s="100" t="n"/>
      <c r="C141" s="100" t="n"/>
      <c r="D141" s="100" t="n"/>
      <c r="E141" s="100" t="n"/>
      <c r="F141" s="100" t="n"/>
      <c r="G141" s="100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34">
      <c r="A142" s="100" t="n"/>
      <c r="B142" s="100" t="n"/>
      <c r="C142" s="100" t="n"/>
      <c r="D142" s="100" t="n"/>
      <c r="E142" s="100" t="n"/>
      <c r="F142" s="100" t="n"/>
      <c r="G142" s="100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34">
      <c r="A143" s="100" t="n"/>
      <c r="B143" s="100" t="n"/>
      <c r="C143" s="100" t="n"/>
      <c r="D143" s="100" t="n"/>
      <c r="E143" s="100" t="n"/>
      <c r="F143" s="100" t="n"/>
      <c r="G143" s="100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34">
      <c r="A144" s="100" t="n"/>
      <c r="B144" s="100" t="n"/>
      <c r="C144" s="100" t="n"/>
      <c r="D144" s="100" t="n"/>
      <c r="E144" s="100" t="n"/>
      <c r="F144" s="100" t="n"/>
      <c r="G144" s="100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34">
      <c r="A145" s="100" t="n"/>
      <c r="B145" s="100" t="n"/>
      <c r="C145" s="100" t="n"/>
      <c r="D145" s="100" t="n"/>
      <c r="E145" s="100" t="n"/>
      <c r="F145" s="100" t="n"/>
      <c r="G145" s="100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34">
      <c r="A146" s="100" t="n"/>
      <c r="B146" s="100" t="n"/>
      <c r="C146" s="100" t="n"/>
      <c r="D146" s="100" t="n"/>
      <c r="E146" s="100" t="n"/>
      <c r="F146" s="100" t="n"/>
      <c r="G146" s="100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34">
      <c r="A147" s="100" t="n"/>
      <c r="B147" s="100" t="n"/>
      <c r="C147" s="100" t="n"/>
      <c r="D147" s="100" t="n"/>
      <c r="E147" s="100" t="n"/>
      <c r="F147" s="100" t="n"/>
      <c r="G147" s="100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34">
      <c r="A148" s="100" t="n"/>
      <c r="B148" s="100" t="n"/>
      <c r="C148" s="100" t="n"/>
      <c r="D148" s="100" t="n"/>
      <c r="E148" s="100" t="n"/>
      <c r="F148" s="100" t="n"/>
      <c r="G148" s="100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34">
      <c r="A149" s="100" t="n"/>
      <c r="B149" s="100" t="n"/>
      <c r="C149" s="100" t="n"/>
      <c r="D149" s="100" t="n"/>
      <c r="E149" s="100" t="n"/>
      <c r="F149" s="100" t="n"/>
      <c r="G149" s="100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34">
      <c r="A150" s="100" t="n"/>
      <c r="B150" s="100" t="n"/>
      <c r="C150" s="100" t="n"/>
      <c r="D150" s="100" t="n"/>
      <c r="E150" s="100" t="n"/>
      <c r="F150" s="100" t="n"/>
      <c r="G150" s="100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34">
      <c r="A151" s="100" t="n"/>
      <c r="B151" s="100" t="n"/>
      <c r="C151" s="100" t="n"/>
      <c r="D151" s="100" t="n"/>
      <c r="E151" s="100" t="n"/>
      <c r="F151" s="100" t="n"/>
      <c r="G151" s="100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34">
      <c r="A152" s="100" t="n"/>
      <c r="B152" s="100" t="n"/>
      <c r="C152" s="100" t="n"/>
      <c r="D152" s="100" t="n"/>
      <c r="E152" s="100" t="n"/>
      <c r="F152" s="100" t="n"/>
      <c r="G152" s="100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34">
      <c r="A153" s="100" t="n"/>
      <c r="B153" s="100" t="n"/>
      <c r="C153" s="100" t="n"/>
      <c r="D153" s="100" t="n"/>
      <c r="E153" s="100" t="n"/>
      <c r="F153" s="100" t="n"/>
      <c r="G153" s="100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34">
      <c r="A154" s="100" t="n"/>
      <c r="B154" s="100" t="n"/>
      <c r="C154" s="100" t="n"/>
      <c r="D154" s="100" t="n"/>
      <c r="E154" s="100" t="n"/>
      <c r="F154" s="100" t="n"/>
      <c r="G154" s="100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34">
      <c r="A155" s="100" t="n"/>
      <c r="B155" s="100" t="n"/>
      <c r="C155" s="100" t="n"/>
      <c r="D155" s="100" t="n"/>
      <c r="E155" s="100" t="n"/>
      <c r="F155" s="100" t="n"/>
      <c r="G155" s="100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34">
      <c r="A156" s="100" t="n"/>
      <c r="B156" s="100" t="n"/>
      <c r="C156" s="100" t="n"/>
      <c r="D156" s="100" t="n"/>
      <c r="E156" s="100" t="n"/>
      <c r="F156" s="100" t="n"/>
      <c r="G156" s="100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34">
      <c r="A157" s="100" t="n"/>
      <c r="B157" s="100" t="n"/>
      <c r="C157" s="100" t="n"/>
      <c r="D157" s="100" t="n"/>
      <c r="E157" s="100" t="n"/>
      <c r="F157" s="100" t="n"/>
      <c r="G157" s="100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34">
      <c r="A158" s="100" t="n"/>
      <c r="B158" s="100" t="n"/>
      <c r="C158" s="100" t="n"/>
      <c r="D158" s="100" t="n"/>
      <c r="E158" s="100" t="n"/>
      <c r="F158" s="100" t="n"/>
      <c r="G158" s="100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34">
      <c r="A159" s="100" t="n"/>
      <c r="B159" s="100" t="n"/>
      <c r="C159" s="100" t="n"/>
      <c r="D159" s="100" t="n"/>
      <c r="E159" s="100" t="n"/>
      <c r="F159" s="100" t="n"/>
      <c r="G159" s="100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34">
      <c r="A160" s="100" t="n"/>
      <c r="B160" s="100" t="n"/>
      <c r="C160" s="100" t="n"/>
      <c r="D160" s="100" t="n"/>
      <c r="E160" s="100" t="n"/>
      <c r="F160" s="100" t="n"/>
      <c r="G160" s="100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34">
      <c r="A161" s="100" t="n"/>
      <c r="B161" s="100" t="n"/>
      <c r="C161" s="100" t="n"/>
      <c r="D161" s="100" t="n"/>
      <c r="E161" s="100" t="n"/>
      <c r="F161" s="100" t="n"/>
      <c r="G161" s="100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34">
      <c r="A162" s="100" t="n"/>
      <c r="B162" s="100" t="n"/>
      <c r="C162" s="100" t="n"/>
      <c r="D162" s="100" t="n"/>
      <c r="E162" s="100" t="n"/>
      <c r="F162" s="100" t="n"/>
      <c r="G162" s="100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34">
      <c r="A163" s="100" t="n"/>
      <c r="B163" s="100" t="n"/>
      <c r="C163" s="100" t="n"/>
      <c r="D163" s="100" t="n"/>
      <c r="E163" s="100" t="n"/>
      <c r="F163" s="100" t="n"/>
      <c r="G163" s="100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34">
      <c r="A164" s="100" t="n"/>
      <c r="B164" s="100" t="n"/>
      <c r="C164" s="100" t="n"/>
      <c r="D164" s="100" t="n"/>
      <c r="E164" s="100" t="n"/>
      <c r="F164" s="100" t="n"/>
      <c r="G164" s="100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34">
      <c r="A165" s="100" t="n"/>
      <c r="B165" s="100" t="n"/>
      <c r="C165" s="100" t="n"/>
      <c r="D165" s="100" t="n"/>
      <c r="E165" s="100" t="n"/>
      <c r="F165" s="100" t="n"/>
      <c r="G165" s="100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34">
      <c r="A166" s="100" t="n"/>
      <c r="B166" s="100" t="n"/>
      <c r="C166" s="100" t="n"/>
      <c r="D166" s="100" t="n"/>
      <c r="E166" s="100" t="n"/>
      <c r="F166" s="100" t="n"/>
      <c r="G166" s="100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34">
      <c r="A167" s="100" t="n"/>
      <c r="B167" s="100" t="n"/>
      <c r="C167" s="100" t="n"/>
      <c r="D167" s="100" t="n"/>
      <c r="E167" s="100" t="n"/>
      <c r="F167" s="100" t="n"/>
      <c r="G167" s="100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34">
      <c r="A168" s="100" t="n"/>
      <c r="B168" s="100" t="n"/>
      <c r="C168" s="100" t="n"/>
      <c r="D168" s="100" t="n"/>
      <c r="E168" s="100" t="n"/>
      <c r="F168" s="100" t="n"/>
      <c r="G168" s="100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34">
      <c r="A169" s="100" t="n"/>
      <c r="B169" s="100" t="n"/>
      <c r="C169" s="100" t="n"/>
      <c r="D169" s="100" t="n"/>
      <c r="E169" s="100" t="n"/>
      <c r="F169" s="100" t="n"/>
      <c r="G169" s="100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34">
      <c r="A170" s="100" t="n"/>
      <c r="B170" s="100" t="n"/>
      <c r="C170" s="100" t="n"/>
      <c r="D170" s="100" t="n"/>
      <c r="E170" s="100" t="n"/>
      <c r="F170" s="100" t="n"/>
      <c r="G170" s="100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34">
      <c r="A171" s="100" t="n"/>
      <c r="B171" s="100" t="n"/>
      <c r="C171" s="100" t="n"/>
      <c r="D171" s="100" t="n"/>
      <c r="E171" s="100" t="n"/>
      <c r="F171" s="100" t="n"/>
      <c r="G171" s="100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34">
      <c r="A172" s="100" t="n"/>
      <c r="B172" s="100" t="n"/>
      <c r="C172" s="100" t="n"/>
      <c r="D172" s="100" t="n"/>
      <c r="E172" s="100" t="n"/>
      <c r="F172" s="100" t="n"/>
      <c r="G172" s="100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34">
      <c r="A173" s="100" t="n"/>
      <c r="B173" s="100" t="n"/>
      <c r="C173" s="100" t="n"/>
      <c r="D173" s="100" t="n"/>
      <c r="E173" s="100" t="n"/>
      <c r="F173" s="100" t="n"/>
      <c r="G173" s="100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34">
      <c r="A174" s="100" t="n"/>
      <c r="B174" s="100" t="n"/>
      <c r="C174" s="100" t="n"/>
      <c r="D174" s="100" t="n"/>
      <c r="E174" s="100" t="n"/>
      <c r="F174" s="100" t="n"/>
      <c r="G174" s="100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34">
      <c r="A175" s="100" t="n"/>
      <c r="B175" s="100" t="n"/>
      <c r="C175" s="100" t="n"/>
      <c r="D175" s="100" t="n"/>
      <c r="E175" s="100" t="n"/>
      <c r="F175" s="100" t="n"/>
      <c r="G175" s="100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34">
      <c r="A176" s="100" t="n"/>
      <c r="B176" s="100" t="n"/>
      <c r="C176" s="100" t="n"/>
      <c r="D176" s="100" t="n"/>
      <c r="E176" s="100" t="n"/>
      <c r="F176" s="100" t="n"/>
      <c r="G176" s="100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34">
      <c r="A177" s="100" t="n"/>
      <c r="B177" s="100" t="n"/>
      <c r="C177" s="100" t="n"/>
      <c r="D177" s="100" t="n"/>
      <c r="E177" s="100" t="n"/>
      <c r="F177" s="100" t="n"/>
      <c r="G177" s="100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34">
      <c r="A178" s="100" t="n"/>
      <c r="B178" s="100" t="n"/>
      <c r="C178" s="100" t="n"/>
      <c r="D178" s="100" t="n"/>
      <c r="E178" s="100" t="n"/>
      <c r="F178" s="100" t="n"/>
      <c r="G178" s="100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34">
      <c r="A179" s="100" t="n"/>
      <c r="B179" s="100" t="n"/>
      <c r="C179" s="100" t="n"/>
      <c r="D179" s="100" t="n"/>
      <c r="E179" s="100" t="n"/>
      <c r="F179" s="100" t="n"/>
      <c r="G179" s="100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34">
      <c r="A180" s="100" t="n"/>
      <c r="B180" s="100" t="n"/>
      <c r="C180" s="100" t="n"/>
      <c r="D180" s="100" t="n"/>
      <c r="E180" s="100" t="n"/>
      <c r="F180" s="100" t="n"/>
      <c r="G180" s="100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34">
      <c r="A181" s="100" t="n"/>
      <c r="B181" s="100" t="n"/>
      <c r="C181" s="100" t="n"/>
      <c r="D181" s="100" t="n"/>
      <c r="E181" s="100" t="n"/>
      <c r="F181" s="100" t="n"/>
      <c r="G181" s="100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34">
      <c r="A182" s="100" t="n"/>
      <c r="B182" s="100" t="n"/>
      <c r="C182" s="100" t="n"/>
      <c r="D182" s="100" t="n"/>
      <c r="E182" s="100" t="n"/>
      <c r="F182" s="100" t="n"/>
      <c r="G182" s="100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34">
      <c r="A183" s="100" t="n"/>
      <c r="B183" s="100" t="n"/>
      <c r="C183" s="100" t="n"/>
      <c r="D183" s="100" t="n"/>
      <c r="E183" s="100" t="n"/>
      <c r="F183" s="100" t="n"/>
      <c r="G183" s="100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34">
      <c r="A184" s="100" t="n"/>
      <c r="B184" s="100" t="n"/>
      <c r="C184" s="100" t="n"/>
      <c r="D184" s="100" t="n"/>
      <c r="E184" s="100" t="n"/>
      <c r="F184" s="100" t="n"/>
      <c r="G184" s="100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34">
      <c r="A185" s="100" t="n"/>
      <c r="B185" s="100" t="n"/>
      <c r="C185" s="100" t="n"/>
      <c r="D185" s="100" t="n"/>
      <c r="E185" s="100" t="n"/>
      <c r="F185" s="100" t="n"/>
      <c r="G185" s="100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34">
      <c r="A186" s="100" t="n"/>
      <c r="B186" s="100" t="n"/>
      <c r="C186" s="100" t="n"/>
      <c r="D186" s="100" t="n"/>
      <c r="E186" s="100" t="n"/>
      <c r="F186" s="100" t="n"/>
      <c r="G186" s="100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34">
      <c r="A187" s="100" t="n"/>
      <c r="B187" s="100" t="n"/>
      <c r="C187" s="100" t="n"/>
      <c r="D187" s="100" t="n"/>
      <c r="E187" s="100" t="n"/>
      <c r="F187" s="100" t="n"/>
      <c r="G187" s="100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34">
      <c r="A188" s="100" t="n"/>
      <c r="B188" s="100" t="n"/>
      <c r="C188" s="100" t="n"/>
      <c r="D188" s="100" t="n"/>
      <c r="E188" s="100" t="n"/>
      <c r="F188" s="100" t="n"/>
      <c r="G188" s="100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34">
      <c r="A189" s="100" t="n"/>
      <c r="B189" s="100" t="n"/>
      <c r="C189" s="100" t="n"/>
      <c r="D189" s="100" t="n"/>
      <c r="E189" s="100" t="n"/>
      <c r="F189" s="100" t="n"/>
      <c r="G189" s="100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34">
      <c r="A190" s="100" t="n"/>
      <c r="B190" s="100" t="n"/>
      <c r="C190" s="100" t="n"/>
      <c r="D190" s="100" t="n"/>
      <c r="E190" s="100" t="n"/>
      <c r="F190" s="100" t="n"/>
      <c r="G190" s="100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34">
      <c r="A191" s="100" t="n"/>
      <c r="B191" s="100" t="n"/>
      <c r="C191" s="100" t="n"/>
      <c r="D191" s="100" t="n"/>
      <c r="E191" s="100" t="n"/>
      <c r="F191" s="100" t="n"/>
      <c r="G191" s="100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34">
      <c r="A192" s="100" t="n"/>
      <c r="B192" s="100" t="n"/>
      <c r="C192" s="100" t="n"/>
      <c r="D192" s="100" t="n"/>
      <c r="E192" s="100" t="n"/>
      <c r="F192" s="100" t="n"/>
      <c r="G192" s="100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34">
      <c r="A193" s="100" t="n"/>
      <c r="B193" s="100" t="n"/>
      <c r="C193" s="100" t="n"/>
      <c r="D193" s="100" t="n"/>
      <c r="E193" s="100" t="n"/>
      <c r="F193" s="100" t="n"/>
      <c r="G193" s="100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34">
      <c r="A194" s="100" t="n"/>
      <c r="B194" s="100" t="n"/>
      <c r="C194" s="100" t="n"/>
      <c r="D194" s="100" t="n"/>
      <c r="E194" s="100" t="n"/>
      <c r="F194" s="100" t="n"/>
      <c r="G194" s="100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34">
      <c r="A195" s="100" t="n"/>
      <c r="B195" s="100" t="n"/>
      <c r="C195" s="100" t="n"/>
      <c r="D195" s="100" t="n"/>
      <c r="E195" s="100" t="n"/>
      <c r="F195" s="100" t="n"/>
      <c r="G195" s="100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34">
      <c r="A196" s="100" t="n"/>
      <c r="B196" s="100" t="n"/>
      <c r="C196" s="100" t="n"/>
      <c r="D196" s="100" t="n"/>
      <c r="E196" s="100" t="n"/>
      <c r="F196" s="100" t="n"/>
      <c r="G196" s="100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34">
      <c r="A197" s="100" t="n"/>
      <c r="B197" s="100" t="n"/>
      <c r="C197" s="100" t="n"/>
      <c r="D197" s="100" t="n"/>
      <c r="E197" s="100" t="n"/>
      <c r="F197" s="100" t="n"/>
      <c r="G197" s="100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34">
      <c r="A198" s="100" t="n"/>
      <c r="B198" s="100" t="n"/>
      <c r="C198" s="100" t="n"/>
      <c r="D198" s="100" t="n"/>
      <c r="E198" s="100" t="n"/>
      <c r="F198" s="100" t="n"/>
      <c r="G198" s="100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34">
      <c r="A199" s="100" t="n"/>
      <c r="B199" s="100" t="n"/>
      <c r="C199" s="100" t="n"/>
      <c r="D199" s="100" t="n"/>
      <c r="E199" s="100" t="n"/>
      <c r="F199" s="100" t="n"/>
      <c r="G199" s="100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34">
      <c r="A200" s="100" t="n"/>
      <c r="B200" s="100" t="n"/>
      <c r="C200" s="100" t="n"/>
      <c r="D200" s="100" t="n"/>
      <c r="E200" s="100" t="n"/>
      <c r="F200" s="100" t="n"/>
      <c r="G200" s="100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34">
      <c r="A201" s="100" t="n"/>
      <c r="B201" s="100" t="n"/>
      <c r="C201" s="100" t="n"/>
      <c r="D201" s="100" t="n"/>
      <c r="E201" s="100" t="n"/>
      <c r="F201" s="100" t="n"/>
      <c r="G201" s="100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34">
      <c r="A202" s="100" t="n"/>
      <c r="B202" s="100" t="n"/>
      <c r="C202" s="100" t="n"/>
      <c r="D202" s="100" t="n"/>
      <c r="E202" s="100" t="n"/>
      <c r="F202" s="100" t="n"/>
      <c r="G202" s="100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34">
      <c r="A203" s="100" t="n"/>
      <c r="B203" s="100" t="n"/>
      <c r="C203" s="100" t="n"/>
      <c r="D203" s="100" t="n"/>
      <c r="E203" s="100" t="n"/>
      <c r="F203" s="100" t="n"/>
      <c r="G203" s="100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34">
      <c r="A204" s="100" t="n"/>
      <c r="B204" s="100" t="n"/>
      <c r="C204" s="100" t="n"/>
      <c r="D204" s="100" t="n"/>
      <c r="E204" s="100" t="n"/>
      <c r="F204" s="100" t="n"/>
      <c r="G204" s="100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34">
      <c r="A205" s="100" t="n"/>
      <c r="B205" s="100" t="n"/>
      <c r="C205" s="100" t="n"/>
      <c r="D205" s="100" t="n"/>
      <c r="E205" s="100" t="n"/>
      <c r="F205" s="100" t="n"/>
      <c r="G205" s="100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34">
      <c r="A206" s="100" t="n"/>
      <c r="B206" s="100" t="n"/>
      <c r="C206" s="100" t="n"/>
      <c r="D206" s="100" t="n"/>
      <c r="E206" s="100" t="n"/>
      <c r="F206" s="100" t="n"/>
      <c r="G206" s="100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34">
      <c r="A207" s="100" t="n"/>
      <c r="B207" s="100" t="n"/>
      <c r="C207" s="100" t="n"/>
      <c r="D207" s="100" t="n"/>
      <c r="E207" s="100" t="n"/>
      <c r="F207" s="100" t="n"/>
      <c r="G207" s="100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34">
      <c r="A208" s="100" t="n"/>
      <c r="B208" s="100" t="n"/>
      <c r="C208" s="100" t="n"/>
      <c r="D208" s="100" t="n"/>
      <c r="E208" s="100" t="n"/>
      <c r="F208" s="100" t="n"/>
      <c r="G208" s="100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34">
      <c r="A209" s="100" t="n"/>
      <c r="B209" s="100" t="n"/>
      <c r="C209" s="100" t="n"/>
      <c r="D209" s="100" t="n"/>
      <c r="E209" s="100" t="n"/>
      <c r="F209" s="100" t="n"/>
      <c r="G209" s="100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34">
      <c r="A210" s="100" t="n"/>
      <c r="B210" s="100" t="n"/>
      <c r="C210" s="100" t="n"/>
      <c r="D210" s="100" t="n"/>
      <c r="E210" s="100" t="n"/>
      <c r="F210" s="100" t="n"/>
      <c r="G210" s="100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34">
      <c r="A211" s="100" t="n"/>
      <c r="B211" s="100" t="n"/>
      <c r="C211" s="100" t="n"/>
      <c r="D211" s="100" t="n"/>
      <c r="E211" s="100" t="n"/>
      <c r="F211" s="100" t="n"/>
      <c r="G211" s="100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34">
      <c r="A212" s="100" t="n"/>
      <c r="B212" s="100" t="n"/>
      <c r="C212" s="100" t="n"/>
      <c r="D212" s="100" t="n"/>
      <c r="E212" s="100" t="n"/>
      <c r="F212" s="100" t="n"/>
      <c r="G212" s="100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34">
      <c r="A213" s="100" t="n"/>
      <c r="B213" s="100" t="n"/>
      <c r="C213" s="100" t="n"/>
      <c r="D213" s="100" t="n"/>
      <c r="E213" s="100" t="n"/>
      <c r="F213" s="100" t="n"/>
      <c r="G213" s="100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34">
      <c r="A214" s="100" t="n"/>
      <c r="B214" s="100" t="n"/>
      <c r="C214" s="100" t="n"/>
      <c r="D214" s="100" t="n"/>
      <c r="E214" s="100" t="n"/>
      <c r="F214" s="100" t="n"/>
      <c r="G214" s="100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34">
      <c r="A215" s="100" t="n"/>
      <c r="B215" s="100" t="n"/>
      <c r="C215" s="100" t="n"/>
      <c r="D215" s="100" t="n"/>
      <c r="E215" s="100" t="n"/>
      <c r="F215" s="100" t="n"/>
      <c r="G215" s="100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34">
      <c r="A216" s="100" t="n"/>
      <c r="B216" s="100" t="n"/>
      <c r="C216" s="100" t="n"/>
      <c r="D216" s="100" t="n"/>
      <c r="E216" s="100" t="n"/>
      <c r="F216" s="100" t="n"/>
      <c r="G216" s="100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34">
      <c r="A217" s="100" t="n"/>
      <c r="B217" s="100" t="n"/>
      <c r="C217" s="100" t="n"/>
      <c r="D217" s="100" t="n"/>
      <c r="E217" s="100" t="n"/>
      <c r="F217" s="100" t="n"/>
      <c r="G217" s="100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34">
      <c r="A218" s="100" t="n"/>
      <c r="B218" s="100" t="n"/>
      <c r="C218" s="100" t="n"/>
      <c r="D218" s="100" t="n"/>
      <c r="E218" s="100" t="n"/>
      <c r="F218" s="100" t="n"/>
      <c r="G218" s="100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34">
      <c r="A219" s="100" t="n"/>
      <c r="B219" s="100" t="n"/>
      <c r="C219" s="100" t="n"/>
      <c r="D219" s="100" t="n"/>
      <c r="E219" s="100" t="n"/>
      <c r="F219" s="100" t="n"/>
      <c r="G219" s="100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34">
      <c r="A220" s="100" t="n"/>
      <c r="B220" s="100" t="n"/>
      <c r="C220" s="100" t="n"/>
      <c r="D220" s="100" t="n"/>
      <c r="E220" s="100" t="n"/>
      <c r="F220" s="100" t="n"/>
      <c r="G220" s="100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34">
      <c r="A221" s="100" t="n"/>
      <c r="B221" s="100" t="n"/>
      <c r="C221" s="100" t="n"/>
      <c r="D221" s="100" t="n"/>
      <c r="E221" s="100" t="n"/>
      <c r="F221" s="100" t="n"/>
      <c r="G221" s="100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34">
      <c r="A222" s="100" t="n"/>
      <c r="B222" s="100" t="n"/>
      <c r="C222" s="100" t="n"/>
      <c r="D222" s="100" t="n"/>
      <c r="E222" s="100" t="n"/>
      <c r="F222" s="100" t="n"/>
      <c r="G222" s="100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34">
      <c r="A223" s="100" t="n"/>
      <c r="B223" s="100" t="n"/>
      <c r="C223" s="100" t="n"/>
      <c r="D223" s="100" t="n"/>
      <c r="E223" s="100" t="n"/>
      <c r="F223" s="100" t="n"/>
      <c r="G223" s="100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34">
      <c r="A224" s="100" t="n"/>
      <c r="B224" s="100" t="n"/>
      <c r="C224" s="100" t="n"/>
      <c r="D224" s="100" t="n"/>
      <c r="E224" s="100" t="n"/>
      <c r="F224" s="100" t="n"/>
      <c r="G224" s="100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34">
      <c r="A225" s="100" t="n"/>
      <c r="B225" s="100" t="n"/>
      <c r="C225" s="100" t="n"/>
      <c r="D225" s="100" t="n"/>
      <c r="E225" s="100" t="n"/>
      <c r="F225" s="100" t="n"/>
      <c r="G225" s="100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34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34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34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34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34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34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34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34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34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34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34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34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34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34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34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34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34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3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34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34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34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34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34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34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34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34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34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3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34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34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34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34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34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34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34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34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34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3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34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34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34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34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34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34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34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34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34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3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34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34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34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34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34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34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34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34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34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3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34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34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34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34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34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34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34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34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34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3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34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34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34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34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34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34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34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34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34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3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34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34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34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34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34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34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34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34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34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3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34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34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34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34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34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34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34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34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34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3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34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34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34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34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34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34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34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34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34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34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34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34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34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34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34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34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34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34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3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34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34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34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34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34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34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34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34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34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3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34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34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34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34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34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34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34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34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34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3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34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34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34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34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34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34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34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34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34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3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34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34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34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34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34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34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34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34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34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3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34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34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34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34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34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34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34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34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34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3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34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34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34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34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34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34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34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34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34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3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34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34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34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34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34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34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34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34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34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3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34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34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34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34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34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34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34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34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34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3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34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34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34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34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34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34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34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34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34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34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34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34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34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34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34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34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34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34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3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34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34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34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34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34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34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34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34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34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3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34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34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34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34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34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34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34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34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34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3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34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34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34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34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34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34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34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34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34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3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34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34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34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34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34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34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34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34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34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3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34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34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34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34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34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34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34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34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34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3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34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34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34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34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34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34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34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34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34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3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34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34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34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34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34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34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34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34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34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3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34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34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34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34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34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34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34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34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34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3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34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34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34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34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34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34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34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34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34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34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34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34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34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34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34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34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34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34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3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34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34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34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34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34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34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34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34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34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3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34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34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34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34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34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34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34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34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34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3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34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34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34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34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34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34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34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34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34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3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34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34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34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34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34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34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34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34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34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3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34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34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34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34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34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34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34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34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34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3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34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34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34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34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34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34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34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34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34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3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34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34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34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34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34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34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34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34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34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3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34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34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34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34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34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34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34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34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34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3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34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34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34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34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34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34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34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34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34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34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34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34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34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34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34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34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34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34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3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34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34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34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34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34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34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34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34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34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3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34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34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34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34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34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34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34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34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34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3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34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34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34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34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34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34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34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34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34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3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34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34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34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34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34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34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34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34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34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3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34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34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34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34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34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34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34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34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34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3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34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34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34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34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34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34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34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34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34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3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34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34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34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34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34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34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34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34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34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3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34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34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34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34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34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34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34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34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34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3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34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34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34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34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34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34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34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34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34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34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34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34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34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34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34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34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34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34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3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34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34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34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34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34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34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34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34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34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3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34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34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34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34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34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34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34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34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34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3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34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34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34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34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34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34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34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34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34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3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34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34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34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34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34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34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34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34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34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3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34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34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34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34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34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34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34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34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34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3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34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34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34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34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34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34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34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34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34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3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34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34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34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34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34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34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34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34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34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3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34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34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34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34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34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34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34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34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34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3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34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34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34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34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34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34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34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34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34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34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34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34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34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34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34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34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34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34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3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34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34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34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34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34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34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34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34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34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3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34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34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34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34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34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34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34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34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34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3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34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34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34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34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34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34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34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34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34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3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34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34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34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34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34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34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34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34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34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3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34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34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34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34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34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34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34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34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34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3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34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34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34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34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34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34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34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34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34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3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34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34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34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34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34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34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34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34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34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3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34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34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34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34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34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34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34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34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34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3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34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34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34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34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34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34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34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34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34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34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34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34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34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34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34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34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34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34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3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34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34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34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34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34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34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34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34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34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3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34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34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34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34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34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34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34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34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34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3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34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34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34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34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34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34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34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34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34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3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34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34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34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34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34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34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34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34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34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3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34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34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34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34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34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34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34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34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34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3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34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34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34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34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34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34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6">
    <mergeCell ref="C7:C9"/>
    <mergeCell ref="A1:F1"/>
    <mergeCell ref="A12:G12"/>
    <mergeCell ref="A19:G19"/>
    <mergeCell ref="A3:B3"/>
    <mergeCell ref="A6:B6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baseColWidth="8" defaultColWidth="14.43" defaultRowHeight="15" customHeight="1" outlineLevelRow="1"/>
  <cols>
    <col width="37.57" customWidth="1" style="134" min="1" max="1"/>
    <col width="10" customWidth="1" style="134" min="2" max="2"/>
    <col width="30" customWidth="1" style="134" min="3" max="3"/>
    <col width="14" customWidth="1" style="134" min="4" max="4"/>
    <col width="10" customWidth="1" style="134" min="5" max="5"/>
    <col width="16" customWidth="1" style="134" min="6" max="7"/>
    <col width="8.710000000000001" customWidth="1" style="134" min="8" max="26"/>
  </cols>
  <sheetData>
    <row r="1">
      <c r="A1" s="28" t="inlineStr">
        <is>
          <t>КПИ мастеров — дополнительный бонус сверх обычной комиссии (см. лист «Эльвира vs Остальные»)</t>
        </is>
      </c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>
      <c r="A2" s="66" t="n"/>
      <c r="B2" s="66" t="n"/>
      <c r="C2" s="66" t="n"/>
      <c r="D2" s="66" t="n"/>
      <c r="E2" s="66" t="n"/>
      <c r="F2" s="66" t="n"/>
      <c r="G2" s="66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>
      <c r="A3" s="33" t="inlineStr">
        <is>
          <t>Правила начисления (жёлтые — можно менять)</t>
        </is>
      </c>
      <c r="B3" s="66" t="n"/>
      <c r="C3" s="66" t="n"/>
      <c r="D3" s="66" t="n"/>
      <c r="E3" s="66" t="n"/>
      <c r="F3" s="66" t="n"/>
      <c r="G3" s="66" t="n"/>
      <c r="H3" s="30" t="n"/>
      <c r="I3" s="30" t="n"/>
      <c r="J3" s="30" t="n"/>
      <c r="K3" s="30" t="n"/>
      <c r="L3" s="30" t="n"/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</row>
    <row r="4">
      <c r="A4" s="5" t="inlineStr">
        <is>
          <t>% от продаж косметики/абонементов/депозитов</t>
        </is>
      </c>
      <c r="B4" s="122" t="n">
        <v>0.05</v>
      </c>
      <c r="C4" s="66" t="n"/>
      <c r="D4" s="66" t="n"/>
      <c r="E4" s="66" t="n"/>
      <c r="F4" s="66" t="n"/>
      <c r="G4" s="66" t="n"/>
      <c r="H4" s="30" t="n"/>
      <c r="I4" s="30" t="n"/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</row>
    <row r="5">
      <c r="A5" s="5" t="inlineStr">
        <is>
          <t>Бонус за кейс (₽ за штуку)</t>
        </is>
      </c>
      <c r="B5" s="53" t="n">
        <v>3000</v>
      </c>
      <c r="C5" s="66" t="n"/>
      <c r="D5" s="66" t="n"/>
      <c r="E5" s="66" t="n"/>
      <c r="F5" s="66" t="n"/>
      <c r="G5" s="66" t="n"/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</row>
    <row r="6">
      <c r="A6" s="5" t="inlineStr">
        <is>
          <t>За отзыв мастеру</t>
        </is>
      </c>
      <c r="B6" s="53" t="n">
        <v>200</v>
      </c>
      <c r="C6" s="66" t="n"/>
      <c r="D6" s="66" t="n"/>
      <c r="E6" s="66" t="n"/>
      <c r="F6" s="66" t="n"/>
      <c r="G6" s="66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</row>
    <row r="7">
      <c r="A7" s="66" t="n"/>
      <c r="B7" s="66" t="n"/>
      <c r="C7" s="66" t="n"/>
      <c r="D7" s="66" t="n"/>
      <c r="E7" s="66" t="n"/>
      <c r="F7" s="66" t="n"/>
      <c r="G7" s="66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</row>
    <row r="8">
      <c r="A8" s="28" t="inlineStr">
        <is>
          <t>Расчёт по месяцам</t>
        </is>
      </c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</row>
    <row r="9">
      <c r="A9" s="47" t="inlineStr">
        <is>
          <t>Мастер</t>
        </is>
      </c>
      <c r="B9" s="47" t="inlineStr">
        <is>
          <t>Месяц</t>
        </is>
      </c>
      <c r="C9" s="47" t="inlineStr">
        <is>
          <t>Продажи космметики/абонементов/депозитов, ₽</t>
        </is>
      </c>
      <c r="D9" s="47" t="inlineStr">
        <is>
          <t>Бонус 5%, ₽</t>
        </is>
      </c>
      <c r="E9" s="47" t="inlineStr">
        <is>
          <t>Кейсы, шт</t>
        </is>
      </c>
      <c r="F9" s="47" t="inlineStr">
        <is>
          <t>Бонус за кейсы, ₽</t>
        </is>
      </c>
      <c r="G9" s="47" t="inlineStr">
        <is>
          <t>ИТОГО доп. бонус, ₽</t>
        </is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30" t="inlineStr">
        <is>
          <t>Эльвира Аминева</t>
        </is>
      </c>
      <c r="B10" s="30" t="inlineStr">
        <is>
          <t>Май</t>
        </is>
      </c>
      <c r="C10" s="54" t="n">
        <v>142681</v>
      </c>
      <c r="D10" s="54">
        <f>5%*C10</f>
        <v/>
      </c>
      <c r="E10" s="123" t="n"/>
      <c r="F10" s="54">
        <f>IF(E10="",0,E10*$B$5)</f>
        <v/>
      </c>
      <c r="G10" s="124">
        <f>D10+F10</f>
        <v/>
      </c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</row>
    <row r="11">
      <c r="A11" s="30" t="inlineStr">
        <is>
          <t>Эльвира Аминева</t>
        </is>
      </c>
      <c r="B11" s="30" t="inlineStr">
        <is>
          <t>Июнь</t>
        </is>
      </c>
      <c r="C11" s="54" t="n">
        <v>205510</v>
      </c>
      <c r="D11" s="54">
        <f>C11*$B$4</f>
        <v/>
      </c>
      <c r="E11" s="123" t="n"/>
      <c r="F11" s="54">
        <f>IF(E11="",0,E11*$B$5)</f>
        <v/>
      </c>
      <c r="G11" s="124">
        <f>D11+F11</f>
        <v/>
      </c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</row>
    <row r="12">
      <c r="A12" s="30" t="inlineStr">
        <is>
          <t>Эльвира Аминева</t>
        </is>
      </c>
      <c r="B12" s="30" t="inlineStr">
        <is>
          <t>Июль</t>
        </is>
      </c>
      <c r="C12" s="54" t="n">
        <v>179370</v>
      </c>
      <c r="D12" s="54">
        <f>C12*$B$4</f>
        <v/>
      </c>
      <c r="E12" s="123" t="n"/>
      <c r="F12" s="54">
        <f>IF(E12="",0,E12*$B$5)</f>
        <v/>
      </c>
      <c r="G12" s="124">
        <f>D12+F12</f>
        <v/>
      </c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</row>
    <row r="13">
      <c r="A13" s="125" t="inlineStr">
        <is>
          <t>Татьяна</t>
        </is>
      </c>
      <c r="B13" s="125" t="inlineStr">
        <is>
          <t>Май</t>
        </is>
      </c>
      <c r="C13" s="126" t="n">
        <v>19753</v>
      </c>
      <c r="D13" s="126">
        <f>C13*$B$4</f>
        <v/>
      </c>
      <c r="E13" s="127" t="n"/>
      <c r="F13" s="126">
        <f>IF(E13="",0,E13*$B$5)</f>
        <v/>
      </c>
      <c r="G13" s="128">
        <f>D13+F13</f>
        <v/>
      </c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</row>
    <row r="14">
      <c r="A14" s="30" t="inlineStr">
        <is>
          <t>Татьяна</t>
        </is>
      </c>
      <c r="B14" s="30" t="inlineStr">
        <is>
          <t>Июнь</t>
        </is>
      </c>
      <c r="C14" s="54" t="n">
        <v>18970</v>
      </c>
      <c r="D14" s="54">
        <f>C14*$B$4</f>
        <v/>
      </c>
      <c r="E14" s="123" t="n"/>
      <c r="F14" s="54">
        <f>IF(E14="",0,E14*$B$5)</f>
        <v/>
      </c>
      <c r="G14" s="124">
        <f>D14+F14</f>
        <v/>
      </c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</row>
    <row r="15">
      <c r="A15" s="129" t="inlineStr">
        <is>
          <t>Татьяна</t>
        </is>
      </c>
      <c r="B15" s="129" t="inlineStr">
        <is>
          <t>Июль</t>
        </is>
      </c>
      <c r="C15" s="130" t="n">
        <v>47710</v>
      </c>
      <c r="D15" s="130">
        <f>C15*$B$4</f>
        <v/>
      </c>
      <c r="E15" s="131" t="n"/>
      <c r="F15" s="130">
        <f>IF(E15="",0,E15*$B$5)</f>
        <v/>
      </c>
      <c r="G15" s="132">
        <f>D15+F15</f>
        <v/>
      </c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</row>
    <row r="16">
      <c r="A16" s="30" t="inlineStr">
        <is>
          <t>Анна</t>
        </is>
      </c>
      <c r="B16" s="30" t="inlineStr">
        <is>
          <t>Май</t>
        </is>
      </c>
      <c r="C16" s="54" t="n">
        <v>39170</v>
      </c>
      <c r="D16" s="54">
        <f>C16*$B$4</f>
        <v/>
      </c>
      <c r="E16" s="123" t="n"/>
      <c r="F16" s="54">
        <f>IF(E16="",0,E16*$B$5)</f>
        <v/>
      </c>
      <c r="G16" s="124">
        <f>D16+F16</f>
        <v/>
      </c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</row>
    <row r="17">
      <c r="A17" s="30" t="inlineStr">
        <is>
          <t>Анна</t>
        </is>
      </c>
      <c r="B17" s="30" t="inlineStr">
        <is>
          <t>Июнь</t>
        </is>
      </c>
      <c r="C17" s="54" t="n">
        <v>49250</v>
      </c>
      <c r="D17" s="54">
        <f>C17*$B$4</f>
        <v/>
      </c>
      <c r="E17" s="123" t="n"/>
      <c r="F17" s="54">
        <f>IF(E17="",0,E17*$B$5)</f>
        <v/>
      </c>
      <c r="G17" s="124">
        <f>D17+F17</f>
        <v/>
      </c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</row>
    <row r="18">
      <c r="A18" s="30" t="inlineStr">
        <is>
          <t>Анна</t>
        </is>
      </c>
      <c r="B18" s="30" t="inlineStr">
        <is>
          <t>Июль</t>
        </is>
      </c>
      <c r="C18" s="54" t="n">
        <v>19870</v>
      </c>
      <c r="D18" s="54">
        <f>C18*$B$4</f>
        <v/>
      </c>
      <c r="E18" s="123" t="n"/>
      <c r="F18" s="54">
        <f>IF(E18="",0,E18*$B$5)</f>
        <v/>
      </c>
      <c r="G18" s="124">
        <f>D18+F18</f>
        <v/>
      </c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</row>
    <row r="19">
      <c r="A19" s="125" t="inlineStr">
        <is>
          <t>Александра</t>
        </is>
      </c>
      <c r="B19" s="125" t="inlineStr">
        <is>
          <t>Май</t>
        </is>
      </c>
      <c r="C19" s="126" t="n">
        <v>18900</v>
      </c>
      <c r="D19" s="126">
        <f>C19*$B$4</f>
        <v/>
      </c>
      <c r="E19" s="127" t="n"/>
      <c r="F19" s="126">
        <f>IF(E19="",0,E19*$B$5)</f>
        <v/>
      </c>
      <c r="G19" s="128">
        <f>D19+F19</f>
        <v/>
      </c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</row>
    <row r="20">
      <c r="A20" s="30" t="inlineStr">
        <is>
          <t>Александра</t>
        </is>
      </c>
      <c r="B20" s="30" t="inlineStr">
        <is>
          <t>Июнь</t>
        </is>
      </c>
      <c r="C20" s="54" t="n">
        <v>18900</v>
      </c>
      <c r="D20" s="54">
        <f>C20*$B$4</f>
        <v/>
      </c>
      <c r="E20" s="123" t="n"/>
      <c r="F20" s="54">
        <f>IF(E20="",0,E20*$B$5)</f>
        <v/>
      </c>
      <c r="G20" s="124">
        <f>D20+F20</f>
        <v/>
      </c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</row>
    <row r="21" ht="15.75" customHeight="1" s="134">
      <c r="A21" s="129" t="inlineStr">
        <is>
          <t>Александра</t>
        </is>
      </c>
      <c r="B21" s="129" t="inlineStr">
        <is>
          <t>Июль</t>
        </is>
      </c>
      <c r="C21" s="130" t="n">
        <v>18900</v>
      </c>
      <c r="D21" s="130">
        <f>C21*$B$4</f>
        <v/>
      </c>
      <c r="E21" s="131" t="n"/>
      <c r="F21" s="130">
        <f>IF(E21="",0,E21*$B$5)</f>
        <v/>
      </c>
      <c r="G21" s="132">
        <f>D21+F21</f>
        <v/>
      </c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</row>
    <row r="22" ht="15.75" customHeight="1" s="134">
      <c r="A22" s="30" t="inlineStr">
        <is>
          <t>Влада</t>
        </is>
      </c>
      <c r="B22" s="30" t="inlineStr">
        <is>
          <t>Май</t>
        </is>
      </c>
      <c r="C22" s="54" t="n">
        <v>4810</v>
      </c>
      <c r="D22" s="54">
        <f>C22*$B$4</f>
        <v/>
      </c>
      <c r="E22" s="123" t="n"/>
      <c r="F22" s="54">
        <f>IF(E22="",0,E22*$B$5)</f>
        <v/>
      </c>
      <c r="G22" s="124">
        <f>D22+F22</f>
        <v/>
      </c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</row>
    <row r="23" ht="15.75" customHeight="1" s="134">
      <c r="A23" s="30" t="inlineStr">
        <is>
          <t>Влада</t>
        </is>
      </c>
      <c r="B23" s="30" t="inlineStr">
        <is>
          <t>Июнь</t>
        </is>
      </c>
      <c r="C23" s="54" t="n">
        <v>96600</v>
      </c>
      <c r="D23" s="54">
        <f>C23*$B$4</f>
        <v/>
      </c>
      <c r="E23" s="123" t="n"/>
      <c r="F23" s="54">
        <f>IF(E23="",0,E23*$B$5)</f>
        <v/>
      </c>
      <c r="G23" s="124">
        <f>D23+F23</f>
        <v/>
      </c>
      <c r="H23" s="30" t="n"/>
      <c r="I23" s="30" t="n"/>
      <c r="J23" s="30" t="n"/>
      <c r="K23" s="30" t="n"/>
      <c r="L23" s="30" t="n"/>
      <c r="M23" s="30" t="n"/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</row>
    <row r="24" ht="15.75" customHeight="1" s="134">
      <c r="A24" s="129" t="inlineStr">
        <is>
          <t>Влада</t>
        </is>
      </c>
      <c r="B24" s="129" t="inlineStr">
        <is>
          <t>Июль</t>
        </is>
      </c>
      <c r="C24" s="130" t="n">
        <v>0</v>
      </c>
      <c r="D24" s="130">
        <f>C24*$B$4</f>
        <v/>
      </c>
      <c r="E24" s="131" t="n"/>
      <c r="F24" s="130">
        <f>IF(E24="",0,E24*$B$5)</f>
        <v/>
      </c>
      <c r="G24" s="132">
        <f>D24+F24</f>
        <v/>
      </c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</row>
    <row r="25" ht="15.75" customHeight="1" s="134">
      <c r="A25" s="66" t="n"/>
      <c r="B25" s="66" t="n"/>
      <c r="C25" s="66" t="n"/>
      <c r="D25" s="66" t="n"/>
      <c r="E25" s="66" t="n"/>
      <c r="F25" s="66" t="n"/>
      <c r="G25" s="66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</row>
    <row r="26" ht="45" customHeight="1" s="134">
      <c r="A26" s="23" t="inlineStr">
        <is>
          <t>Продажи космметики/абонементов/депозитов — из транзакций «Продажа товаров»/«Продажа абонементов»/«Пополнение счёта», привязанных к визиту этого мастера (та же логика привязки, что и в разделе «Товары» на дашборде). Это ДОПОЛНИТЕЛЬНЫЙ бонус — не включает обычную комиссию мастера за услуги (см. лист «Эльвира vs Остальные» и «ПРОГНОЗ»). Кейсы — впиши количество вручную в жёлтые ячейки, в CRM это не фиксируется.</t>
        </is>
      </c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  <c r="Z26" s="30" t="n"/>
    </row>
    <row r="27" ht="15.75" customHeight="1" s="134">
      <c r="A27" s="66" t="n"/>
      <c r="B27" s="66" t="n"/>
      <c r="C27" s="66" t="n"/>
      <c r="D27" s="66" t="n"/>
      <c r="E27" s="66" t="n"/>
      <c r="F27" s="66" t="n"/>
      <c r="G27" s="66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</row>
    <row r="28" ht="15.75" customHeight="1" s="134">
      <c r="A28" s="66" t="n"/>
      <c r="B28" s="66" t="n"/>
      <c r="C28" s="66" t="n"/>
      <c r="D28" s="66" t="n"/>
      <c r="E28" s="66" t="n"/>
      <c r="F28" s="66" t="n"/>
      <c r="G28" s="66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</row>
    <row r="29" ht="15.75" customHeight="1" s="134">
      <c r="A29" s="66" t="n"/>
      <c r="B29" s="66" t="n"/>
      <c r="C29" s="66" t="n"/>
      <c r="D29" s="66" t="n"/>
      <c r="E29" s="66" t="n"/>
      <c r="F29" s="66" t="n"/>
      <c r="G29" s="66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</row>
    <row r="30" ht="15.75" customHeight="1" s="134">
      <c r="A30" s="66" t="n"/>
      <c r="B30" s="66" t="n"/>
      <c r="C30" s="66" t="n"/>
      <c r="D30" s="66" t="n"/>
      <c r="E30" s="66" t="n"/>
      <c r="F30" s="66" t="n"/>
      <c r="G30" s="66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</row>
    <row r="31" ht="15.75" customHeight="1" s="134">
      <c r="A31" s="66" t="n"/>
      <c r="B31" s="66" t="n"/>
      <c r="C31" s="66" t="n"/>
      <c r="D31" s="66" t="n"/>
      <c r="E31" s="66" t="n"/>
      <c r="F31" s="66" t="n"/>
      <c r="G31" s="66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</row>
    <row r="32" ht="15.75" customHeight="1" s="134">
      <c r="A32" s="66" t="n"/>
      <c r="B32" s="66" t="n"/>
      <c r="C32" s="66" t="n"/>
      <c r="D32" s="66" t="n"/>
      <c r="E32" s="66" t="n"/>
      <c r="F32" s="66" t="n"/>
      <c r="G32" s="66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  <c r="Z32" s="30" t="n"/>
    </row>
    <row r="33" ht="15.75" customHeight="1" s="134">
      <c r="A33" s="66" t="n"/>
      <c r="B33" s="66" t="n"/>
      <c r="C33" s="66" t="n"/>
      <c r="D33" s="66" t="n"/>
      <c r="E33" s="66" t="n"/>
      <c r="F33" s="66" t="n"/>
      <c r="G33" s="66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</row>
    <row r="34" ht="15.75" customHeight="1" s="134">
      <c r="A34" s="66" t="n"/>
      <c r="B34" s="66" t="n"/>
      <c r="C34" s="66" t="n"/>
      <c r="D34" s="66" t="n"/>
      <c r="E34" s="66" t="n"/>
      <c r="F34" s="66" t="n"/>
      <c r="G34" s="66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  <c r="Z34" s="30" t="n"/>
    </row>
    <row r="35" ht="15.75" customHeight="1" s="134">
      <c r="A35" s="66" t="n"/>
      <c r="B35" s="66" t="n"/>
      <c r="C35" s="66" t="n"/>
      <c r="D35" s="66" t="n"/>
      <c r="E35" s="66" t="n"/>
      <c r="F35" s="66" t="n"/>
      <c r="G35" s="66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</row>
    <row r="36" ht="15.75" customHeight="1" s="134">
      <c r="A36" s="66" t="n"/>
      <c r="B36" s="66" t="n"/>
      <c r="C36" s="66" t="n"/>
      <c r="D36" s="66" t="n"/>
      <c r="E36" s="66" t="n"/>
      <c r="F36" s="66" t="n"/>
      <c r="G36" s="66" t="n"/>
      <c r="H36" s="30" t="n"/>
      <c r="I36" s="30" t="n"/>
      <c r="J36" s="30" t="n"/>
      <c r="K36" s="30" t="n"/>
      <c r="L36" s="30" t="n"/>
      <c r="M36" s="30" t="n"/>
      <c r="N36" s="30" t="n"/>
      <c r="O36" s="30" t="n"/>
      <c r="P36" s="30" t="n"/>
      <c r="Q36" s="30" t="n"/>
      <c r="R36" s="30" t="n"/>
      <c r="S36" s="30" t="n"/>
      <c r="T36" s="30" t="n"/>
      <c r="U36" s="30" t="n"/>
      <c r="V36" s="30" t="n"/>
      <c r="W36" s="30" t="n"/>
      <c r="X36" s="30" t="n"/>
      <c r="Y36" s="30" t="n"/>
      <c r="Z36" s="30" t="n"/>
    </row>
    <row r="37" ht="15.75" customHeight="1" s="134">
      <c r="A37" s="66" t="n"/>
      <c r="B37" s="66" t="n"/>
      <c r="C37" s="66" t="n"/>
      <c r="D37" s="66" t="n"/>
      <c r="E37" s="66" t="n"/>
      <c r="F37" s="66" t="n"/>
      <c r="G37" s="66" t="n"/>
      <c r="H37" s="30" t="n"/>
      <c r="I37" s="30" t="n"/>
      <c r="J37" s="30" t="n"/>
      <c r="K37" s="30" t="n"/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0" t="n"/>
      <c r="W37" s="30" t="n"/>
      <c r="X37" s="30" t="n"/>
      <c r="Y37" s="30" t="n"/>
      <c r="Z37" s="30" t="n"/>
    </row>
    <row r="38" ht="15.75" customHeight="1" s="134">
      <c r="A38" s="66" t="n"/>
      <c r="B38" s="66" t="n"/>
      <c r="C38" s="66" t="n"/>
      <c r="D38" s="66" t="n"/>
      <c r="E38" s="66" t="n"/>
      <c r="F38" s="66" t="n"/>
      <c r="G38" s="66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30" t="n"/>
      <c r="V38" s="30" t="n"/>
      <c r="W38" s="30" t="n"/>
      <c r="X38" s="30" t="n"/>
      <c r="Y38" s="30" t="n"/>
      <c r="Z38" s="30" t="n"/>
    </row>
    <row r="39" ht="15.75" customHeight="1" s="134">
      <c r="A39" s="66" t="n"/>
      <c r="B39" s="66" t="n"/>
      <c r="C39" s="66" t="n"/>
      <c r="D39" s="66" t="n"/>
      <c r="E39" s="66" t="n"/>
      <c r="F39" s="66" t="n"/>
      <c r="G39" s="66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</row>
    <row r="40" ht="15.75" customHeight="1" s="134">
      <c r="A40" s="66" t="n"/>
      <c r="B40" s="66" t="n"/>
      <c r="C40" s="66" t="n"/>
      <c r="D40" s="66" t="n"/>
      <c r="E40" s="66" t="n"/>
      <c r="F40" s="66" t="n"/>
      <c r="G40" s="66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</row>
    <row r="41" ht="15.75" customHeight="1" s="134">
      <c r="A41" s="66" t="n"/>
      <c r="B41" s="66" t="n"/>
      <c r="C41" s="66" t="n"/>
      <c r="D41" s="66" t="n"/>
      <c r="E41" s="66" t="n"/>
      <c r="F41" s="66" t="n"/>
      <c r="G41" s="66" t="n"/>
      <c r="H41" s="30" t="n"/>
      <c r="I41" s="30" t="n"/>
      <c r="J41" s="30" t="n"/>
      <c r="K41" s="30" t="n"/>
      <c r="L41" s="30" t="n"/>
      <c r="M41" s="30" t="n"/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  <c r="W41" s="30" t="n"/>
      <c r="X41" s="30" t="n"/>
      <c r="Y41" s="30" t="n"/>
      <c r="Z41" s="30" t="n"/>
    </row>
    <row r="42" ht="15.75" customHeight="1" s="134">
      <c r="A42" s="66" t="n"/>
      <c r="B42" s="66" t="n"/>
      <c r="C42" s="66" t="n"/>
      <c r="D42" s="66" t="n"/>
      <c r="E42" s="66" t="n"/>
      <c r="F42" s="66" t="n"/>
      <c r="G42" s="66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0" t="n"/>
      <c r="R42" s="30" t="n"/>
      <c r="S42" s="30" t="n"/>
      <c r="T42" s="30" t="n"/>
      <c r="U42" s="30" t="n"/>
      <c r="V42" s="30" t="n"/>
      <c r="W42" s="30" t="n"/>
      <c r="X42" s="30" t="n"/>
      <c r="Y42" s="30" t="n"/>
      <c r="Z42" s="30" t="n"/>
    </row>
    <row r="43" ht="15.75" customHeight="1" s="134">
      <c r="A43" s="66" t="n"/>
      <c r="B43" s="66" t="n"/>
      <c r="C43" s="66" t="n"/>
      <c r="D43" s="66" t="n"/>
      <c r="E43" s="66" t="n"/>
      <c r="F43" s="66" t="n"/>
      <c r="G43" s="66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</row>
    <row r="44" ht="15.75" customHeight="1" s="134">
      <c r="A44" s="66" t="n"/>
      <c r="B44" s="66" t="n"/>
      <c r="C44" s="66" t="n"/>
      <c r="D44" s="66" t="n"/>
      <c r="E44" s="66" t="n"/>
      <c r="F44" s="66" t="n"/>
      <c r="G44" s="66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  <c r="Z44" s="30" t="n"/>
    </row>
    <row r="45" ht="15.75" customHeight="1" s="134">
      <c r="A45" s="66" t="n"/>
      <c r="B45" s="66" t="n"/>
      <c r="C45" s="66" t="n"/>
      <c r="D45" s="66" t="n"/>
      <c r="E45" s="66" t="n"/>
      <c r="F45" s="66" t="n"/>
      <c r="G45" s="66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0" t="n"/>
      <c r="Q45" s="30" t="n"/>
      <c r="R45" s="30" t="n"/>
      <c r="S45" s="30" t="n"/>
      <c r="T45" s="30" t="n"/>
      <c r="U45" s="30" t="n"/>
      <c r="V45" s="30" t="n"/>
      <c r="W45" s="30" t="n"/>
      <c r="X45" s="30" t="n"/>
      <c r="Y45" s="30" t="n"/>
      <c r="Z45" s="30" t="n"/>
    </row>
    <row r="46" ht="15.75" customHeight="1" s="134">
      <c r="A46" s="66" t="n"/>
      <c r="B46" s="66" t="n"/>
      <c r="C46" s="66" t="n"/>
      <c r="D46" s="66" t="n"/>
      <c r="E46" s="66" t="n"/>
      <c r="F46" s="66" t="n"/>
      <c r="G46" s="66" t="n"/>
      <c r="H46" s="30" t="n"/>
      <c r="I46" s="30" t="n"/>
      <c r="J46" s="30" t="n"/>
      <c r="K46" s="30" t="n"/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0" t="n"/>
      <c r="W46" s="30" t="n"/>
      <c r="X46" s="30" t="n"/>
      <c r="Y46" s="30" t="n"/>
      <c r="Z46" s="30" t="n"/>
    </row>
    <row r="47" ht="15.75" customHeight="1" s="134">
      <c r="A47" s="66" t="n"/>
      <c r="B47" s="66" t="n"/>
      <c r="C47" s="66" t="n"/>
      <c r="D47" s="66" t="n"/>
      <c r="E47" s="66" t="n"/>
      <c r="F47" s="66" t="n"/>
      <c r="G47" s="66" t="n"/>
      <c r="H47" s="30" t="n"/>
      <c r="I47" s="30" t="n"/>
      <c r="J47" s="30" t="n"/>
      <c r="K47" s="30" t="n"/>
      <c r="L47" s="30" t="n"/>
      <c r="M47" s="30" t="n"/>
      <c r="N47" s="30" t="n"/>
      <c r="O47" s="30" t="n"/>
      <c r="P47" s="30" t="n"/>
      <c r="Q47" s="30" t="n"/>
      <c r="R47" s="30" t="n"/>
      <c r="S47" s="30" t="n"/>
      <c r="T47" s="30" t="n"/>
      <c r="U47" s="30" t="n"/>
      <c r="V47" s="30" t="n"/>
      <c r="W47" s="30" t="n"/>
      <c r="X47" s="30" t="n"/>
      <c r="Y47" s="30" t="n"/>
      <c r="Z47" s="30" t="n"/>
    </row>
    <row r="48" ht="15.75" customHeight="1" s="134">
      <c r="A48" s="66" t="n"/>
      <c r="B48" s="66" t="n"/>
      <c r="C48" s="66" t="n"/>
      <c r="D48" s="66" t="n"/>
      <c r="E48" s="66" t="n"/>
      <c r="F48" s="66" t="n"/>
      <c r="G48" s="66" t="n"/>
      <c r="H48" s="30" t="n"/>
      <c r="I48" s="30" t="n"/>
      <c r="J48" s="30" t="n"/>
      <c r="K48" s="30" t="n"/>
      <c r="L48" s="30" t="n"/>
      <c r="M48" s="30" t="n"/>
      <c r="N48" s="30" t="n"/>
      <c r="O48" s="30" t="n"/>
      <c r="P48" s="30" t="n"/>
      <c r="Q48" s="30" t="n"/>
      <c r="R48" s="30" t="n"/>
      <c r="S48" s="30" t="n"/>
      <c r="T48" s="30" t="n"/>
      <c r="U48" s="30" t="n"/>
      <c r="V48" s="30" t="n"/>
      <c r="W48" s="30" t="n"/>
      <c r="X48" s="30" t="n"/>
      <c r="Y48" s="30" t="n"/>
      <c r="Z48" s="30" t="n"/>
    </row>
    <row r="49" ht="15.75" customHeight="1" s="134">
      <c r="A49" s="66" t="n"/>
      <c r="B49" s="66" t="n"/>
      <c r="C49" s="66" t="n"/>
      <c r="D49" s="66" t="n"/>
      <c r="E49" s="66" t="n"/>
      <c r="F49" s="66" t="n"/>
      <c r="G49" s="66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  <c r="Z49" s="30" t="n"/>
    </row>
    <row r="50" ht="15.75" customHeight="1" s="134">
      <c r="A50" s="66" t="n"/>
      <c r="B50" s="66" t="n"/>
      <c r="C50" s="66" t="n"/>
      <c r="D50" s="66" t="n"/>
      <c r="E50" s="66" t="n"/>
      <c r="F50" s="66" t="n"/>
      <c r="G50" s="66" t="n"/>
      <c r="H50" s="30" t="n"/>
      <c r="I50" s="30" t="n"/>
      <c r="J50" s="30" t="n"/>
      <c r="K50" s="30" t="n"/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</row>
    <row r="51" ht="15.75" customHeight="1" s="134">
      <c r="A51" s="66" t="n"/>
      <c r="B51" s="66" t="n"/>
      <c r="C51" s="66" t="n"/>
      <c r="D51" s="66" t="n"/>
      <c r="E51" s="66" t="n"/>
      <c r="F51" s="66" t="n"/>
      <c r="G51" s="66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  <c r="Z51" s="30" t="n"/>
    </row>
    <row r="52" ht="15.75" customHeight="1" s="134">
      <c r="A52" s="66" t="n"/>
      <c r="B52" s="66" t="n"/>
      <c r="C52" s="66" t="n"/>
      <c r="D52" s="66" t="n"/>
      <c r="E52" s="66" t="n"/>
      <c r="F52" s="66" t="n"/>
      <c r="G52" s="66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</row>
    <row r="53" ht="15.75" customHeight="1" s="134">
      <c r="A53" s="66" t="n"/>
      <c r="B53" s="66" t="n"/>
      <c r="C53" s="66" t="n"/>
      <c r="D53" s="66" t="n"/>
      <c r="E53" s="66" t="n"/>
      <c r="F53" s="66" t="n"/>
      <c r="G53" s="66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30" t="n"/>
      <c r="Q53" s="30" t="n"/>
      <c r="R53" s="30" t="n"/>
      <c r="S53" s="30" t="n"/>
      <c r="T53" s="30" t="n"/>
      <c r="U53" s="30" t="n"/>
      <c r="V53" s="30" t="n"/>
      <c r="W53" s="30" t="n"/>
      <c r="X53" s="30" t="n"/>
      <c r="Y53" s="30" t="n"/>
      <c r="Z53" s="30" t="n"/>
    </row>
    <row r="54" ht="15.75" customHeight="1" s="134">
      <c r="A54" s="66" t="n"/>
      <c r="B54" s="66" t="n"/>
      <c r="C54" s="66" t="n"/>
      <c r="D54" s="66" t="n"/>
      <c r="E54" s="66" t="n"/>
      <c r="F54" s="66" t="n"/>
      <c r="G54" s="66" t="n"/>
      <c r="H54" s="30" t="n"/>
      <c r="I54" s="30" t="n"/>
      <c r="J54" s="30" t="n"/>
      <c r="K54" s="30" t="n"/>
      <c r="L54" s="30" t="n"/>
      <c r="M54" s="30" t="n"/>
      <c r="N54" s="30" t="n"/>
      <c r="O54" s="30" t="n"/>
      <c r="P54" s="30" t="n"/>
      <c r="Q54" s="30" t="n"/>
      <c r="R54" s="30" t="n"/>
      <c r="S54" s="30" t="n"/>
      <c r="T54" s="30" t="n"/>
      <c r="U54" s="30" t="n"/>
      <c r="V54" s="30" t="n"/>
      <c r="W54" s="30" t="n"/>
      <c r="X54" s="30" t="n"/>
      <c r="Y54" s="30" t="n"/>
      <c r="Z54" s="30" t="n"/>
    </row>
    <row r="55" ht="15.75" customHeight="1" s="134">
      <c r="A55" s="66" t="n"/>
      <c r="B55" s="66" t="n"/>
      <c r="C55" s="66" t="n"/>
      <c r="D55" s="66" t="n"/>
      <c r="E55" s="66" t="n"/>
      <c r="F55" s="66" t="n"/>
      <c r="G55" s="66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  <c r="Z55" s="30" t="n"/>
    </row>
    <row r="56" ht="15.75" customHeight="1" s="134">
      <c r="A56" s="66" t="n"/>
      <c r="B56" s="66" t="n"/>
      <c r="C56" s="66" t="n"/>
      <c r="D56" s="66" t="n"/>
      <c r="E56" s="66" t="n"/>
      <c r="F56" s="66" t="n"/>
      <c r="G56" s="66" t="n"/>
      <c r="H56" s="30" t="n"/>
      <c r="I56" s="30" t="n"/>
      <c r="J56" s="30" t="n"/>
      <c r="K56" s="30" t="n"/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0" t="n"/>
      <c r="V56" s="30" t="n"/>
      <c r="W56" s="30" t="n"/>
      <c r="X56" s="30" t="n"/>
      <c r="Y56" s="30" t="n"/>
      <c r="Z56" s="30" t="n"/>
    </row>
    <row r="57" ht="15.75" customHeight="1" s="134">
      <c r="A57" s="66" t="n"/>
      <c r="B57" s="66" t="n"/>
      <c r="C57" s="66" t="n"/>
      <c r="D57" s="66" t="n"/>
      <c r="E57" s="66" t="n"/>
      <c r="F57" s="66" t="n"/>
      <c r="G57" s="66" t="n"/>
      <c r="H57" s="30" t="n"/>
      <c r="I57" s="30" t="n"/>
      <c r="J57" s="30" t="n"/>
      <c r="K57" s="30" t="n"/>
      <c r="L57" s="30" t="n"/>
      <c r="M57" s="30" t="n"/>
      <c r="N57" s="30" t="n"/>
      <c r="O57" s="30" t="n"/>
      <c r="P57" s="30" t="n"/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  <c r="Z57" s="30" t="n"/>
    </row>
    <row r="58" ht="15.75" customHeight="1" s="134">
      <c r="A58" s="66" t="n"/>
      <c r="B58" s="66" t="n"/>
      <c r="C58" s="66" t="n"/>
      <c r="D58" s="66" t="n"/>
      <c r="E58" s="66" t="n"/>
      <c r="F58" s="66" t="n"/>
      <c r="G58" s="66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  <c r="W58" s="30" t="n"/>
      <c r="X58" s="30" t="n"/>
      <c r="Y58" s="30" t="n"/>
      <c r="Z58" s="30" t="n"/>
    </row>
    <row r="59" ht="15.75" customHeight="1" s="134">
      <c r="A59" s="66" t="n"/>
      <c r="B59" s="66" t="n"/>
      <c r="C59" s="66" t="n"/>
      <c r="D59" s="66" t="n"/>
      <c r="E59" s="66" t="n"/>
      <c r="F59" s="66" t="n"/>
      <c r="G59" s="66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30" t="n"/>
      <c r="Q59" s="30" t="n"/>
      <c r="R59" s="30" t="n"/>
      <c r="S59" s="30" t="n"/>
      <c r="T59" s="30" t="n"/>
      <c r="U59" s="30" t="n"/>
      <c r="V59" s="30" t="n"/>
      <c r="W59" s="30" t="n"/>
      <c r="X59" s="30" t="n"/>
      <c r="Y59" s="30" t="n"/>
      <c r="Z59" s="30" t="n"/>
    </row>
    <row r="60" ht="15.75" customHeight="1" s="134">
      <c r="A60" s="66" t="n"/>
      <c r="B60" s="66" t="n"/>
      <c r="C60" s="66" t="n"/>
      <c r="D60" s="66" t="n"/>
      <c r="E60" s="66" t="n"/>
      <c r="F60" s="66" t="n"/>
      <c r="G60" s="66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  <c r="X60" s="30" t="n"/>
      <c r="Y60" s="30" t="n"/>
      <c r="Z60" s="30" t="n"/>
    </row>
    <row r="61" ht="15.75" customHeight="1" s="134">
      <c r="A61" s="66" t="n"/>
      <c r="B61" s="66" t="n"/>
      <c r="C61" s="66" t="n"/>
      <c r="D61" s="66" t="n"/>
      <c r="E61" s="66" t="n"/>
      <c r="F61" s="66" t="n"/>
      <c r="G61" s="66" t="n"/>
      <c r="H61" s="30" t="n"/>
      <c r="I61" s="30" t="n"/>
      <c r="J61" s="30" t="n"/>
      <c r="K61" s="30" t="n"/>
      <c r="L61" s="30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30" t="n"/>
      <c r="W61" s="30" t="n"/>
      <c r="X61" s="30" t="n"/>
      <c r="Y61" s="30" t="n"/>
      <c r="Z61" s="30" t="n"/>
    </row>
    <row r="62" ht="15.75" customHeight="1" s="134">
      <c r="A62" s="66" t="n"/>
      <c r="B62" s="66" t="n"/>
      <c r="C62" s="66" t="n"/>
      <c r="D62" s="66" t="n"/>
      <c r="E62" s="66" t="n"/>
      <c r="F62" s="66" t="n"/>
      <c r="G62" s="66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n"/>
      <c r="U62" s="30" t="n"/>
      <c r="V62" s="30" t="n"/>
      <c r="W62" s="30" t="n"/>
      <c r="X62" s="30" t="n"/>
      <c r="Y62" s="30" t="n"/>
      <c r="Z62" s="30" t="n"/>
    </row>
    <row r="63" ht="15.75" customHeight="1" s="134">
      <c r="A63" s="66" t="n"/>
      <c r="B63" s="66" t="n"/>
      <c r="C63" s="66" t="n"/>
      <c r="D63" s="66" t="n"/>
      <c r="E63" s="66" t="n"/>
      <c r="F63" s="66" t="n"/>
      <c r="G63" s="66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n"/>
      <c r="V63" s="30" t="n"/>
      <c r="W63" s="30" t="n"/>
      <c r="X63" s="30" t="n"/>
      <c r="Y63" s="30" t="n"/>
      <c r="Z63" s="30" t="n"/>
    </row>
    <row r="64" ht="15.75" customHeight="1" s="134">
      <c r="A64" s="66" t="n"/>
      <c r="B64" s="66" t="n"/>
      <c r="C64" s="66" t="n"/>
      <c r="D64" s="66" t="n"/>
      <c r="E64" s="66" t="n"/>
      <c r="F64" s="66" t="n"/>
      <c r="G64" s="66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  <c r="X64" s="30" t="n"/>
      <c r="Y64" s="30" t="n"/>
      <c r="Z64" s="30" t="n"/>
    </row>
    <row r="65" ht="15.75" customHeight="1" s="134">
      <c r="A65" s="66" t="n"/>
      <c r="B65" s="66" t="n"/>
      <c r="C65" s="66" t="n"/>
      <c r="D65" s="66" t="n"/>
      <c r="E65" s="66" t="n"/>
      <c r="F65" s="66" t="n"/>
      <c r="G65" s="66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  <c r="Z65" s="30" t="n"/>
    </row>
    <row r="66" ht="15.75" customHeight="1" s="134">
      <c r="A66" s="66" t="n"/>
      <c r="B66" s="66" t="n"/>
      <c r="C66" s="66" t="n"/>
      <c r="D66" s="66" t="n"/>
      <c r="E66" s="66" t="n"/>
      <c r="F66" s="66" t="n"/>
      <c r="G66" s="66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n"/>
      <c r="U66" s="30" t="n"/>
      <c r="V66" s="30" t="n"/>
      <c r="W66" s="30" t="n"/>
      <c r="X66" s="30" t="n"/>
      <c r="Y66" s="30" t="n"/>
      <c r="Z66" s="30" t="n"/>
    </row>
    <row r="67" ht="15.75" customHeight="1" s="134">
      <c r="A67" s="66" t="n"/>
      <c r="B67" s="66" t="n"/>
      <c r="C67" s="66" t="n"/>
      <c r="D67" s="66" t="n"/>
      <c r="E67" s="66" t="n"/>
      <c r="F67" s="66" t="n"/>
      <c r="G67" s="66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0" t="n"/>
      <c r="Q67" s="30" t="n"/>
      <c r="R67" s="30" t="n"/>
      <c r="S67" s="30" t="n"/>
      <c r="T67" s="30" t="n"/>
      <c r="U67" s="30" t="n"/>
      <c r="V67" s="30" t="n"/>
      <c r="W67" s="30" t="n"/>
      <c r="X67" s="30" t="n"/>
      <c r="Y67" s="30" t="n"/>
      <c r="Z67" s="30" t="n"/>
    </row>
    <row r="68" ht="15.75" customHeight="1" s="134">
      <c r="A68" s="66" t="n"/>
      <c r="B68" s="66" t="n"/>
      <c r="C68" s="66" t="n"/>
      <c r="D68" s="66" t="n"/>
      <c r="E68" s="66" t="n"/>
      <c r="F68" s="66" t="n"/>
      <c r="G68" s="66" t="n"/>
      <c r="H68" s="30" t="n"/>
      <c r="I68" s="30" t="n"/>
      <c r="J68" s="30" t="n"/>
      <c r="K68" s="30" t="n"/>
      <c r="L68" s="30" t="n"/>
      <c r="M68" s="30" t="n"/>
      <c r="N68" s="30" t="n"/>
      <c r="O68" s="30" t="n"/>
      <c r="P68" s="30" t="n"/>
      <c r="Q68" s="30" t="n"/>
      <c r="R68" s="30" t="n"/>
      <c r="S68" s="30" t="n"/>
      <c r="T68" s="30" t="n"/>
      <c r="U68" s="30" t="n"/>
      <c r="V68" s="30" t="n"/>
      <c r="W68" s="30" t="n"/>
      <c r="X68" s="30" t="n"/>
      <c r="Y68" s="30" t="n"/>
      <c r="Z68" s="30" t="n"/>
    </row>
    <row r="69" ht="15.75" customHeight="1" s="134">
      <c r="A69" s="66" t="n"/>
      <c r="B69" s="66" t="n"/>
      <c r="C69" s="66" t="n"/>
      <c r="D69" s="66" t="n"/>
      <c r="E69" s="66" t="n"/>
      <c r="F69" s="66" t="n"/>
      <c r="G69" s="66" t="n"/>
      <c r="H69" s="30" t="n"/>
      <c r="I69" s="30" t="n"/>
      <c r="J69" s="30" t="n"/>
      <c r="K69" s="30" t="n"/>
      <c r="L69" s="30" t="n"/>
      <c r="M69" s="30" t="n"/>
      <c r="N69" s="30" t="n"/>
      <c r="O69" s="30" t="n"/>
      <c r="P69" s="30" t="n"/>
      <c r="Q69" s="30" t="n"/>
      <c r="R69" s="30" t="n"/>
      <c r="S69" s="30" t="n"/>
      <c r="T69" s="30" t="n"/>
      <c r="U69" s="30" t="n"/>
      <c r="V69" s="30" t="n"/>
      <c r="W69" s="30" t="n"/>
      <c r="X69" s="30" t="n"/>
      <c r="Y69" s="30" t="n"/>
      <c r="Z69" s="30" t="n"/>
    </row>
    <row r="70" ht="15.75" customHeight="1" s="134">
      <c r="A70" s="66" t="n"/>
      <c r="B70" s="66" t="n"/>
      <c r="C70" s="66" t="n"/>
      <c r="D70" s="66" t="n"/>
      <c r="E70" s="66" t="n"/>
      <c r="F70" s="66" t="n"/>
      <c r="G70" s="66" t="n"/>
      <c r="H70" s="30" t="n"/>
      <c r="I70" s="30" t="n"/>
      <c r="J70" s="30" t="n"/>
      <c r="K70" s="30" t="n"/>
      <c r="L70" s="30" t="n"/>
      <c r="M70" s="30" t="n"/>
      <c r="N70" s="30" t="n"/>
      <c r="O70" s="30" t="n"/>
      <c r="P70" s="30" t="n"/>
      <c r="Q70" s="30" t="n"/>
      <c r="R70" s="30" t="n"/>
      <c r="S70" s="30" t="n"/>
      <c r="T70" s="30" t="n"/>
      <c r="U70" s="30" t="n"/>
      <c r="V70" s="30" t="n"/>
      <c r="W70" s="30" t="n"/>
      <c r="X70" s="30" t="n"/>
      <c r="Y70" s="30" t="n"/>
      <c r="Z70" s="30" t="n"/>
    </row>
    <row r="71" ht="15.75" customHeight="1" s="134">
      <c r="A71" s="66" t="n"/>
      <c r="B71" s="66" t="n"/>
      <c r="C71" s="66" t="n"/>
      <c r="D71" s="66" t="n"/>
      <c r="E71" s="66" t="n"/>
      <c r="F71" s="66" t="n"/>
      <c r="G71" s="66" t="n"/>
      <c r="H71" s="30" t="n"/>
      <c r="I71" s="30" t="n"/>
      <c r="J71" s="30" t="n"/>
      <c r="K71" s="30" t="n"/>
      <c r="L71" s="30" t="n"/>
      <c r="M71" s="30" t="n"/>
      <c r="N71" s="30" t="n"/>
      <c r="O71" s="30" t="n"/>
      <c r="P71" s="30" t="n"/>
      <c r="Q71" s="30" t="n"/>
      <c r="R71" s="30" t="n"/>
      <c r="S71" s="30" t="n"/>
      <c r="T71" s="30" t="n"/>
      <c r="U71" s="30" t="n"/>
      <c r="V71" s="30" t="n"/>
      <c r="W71" s="30" t="n"/>
      <c r="X71" s="30" t="n"/>
      <c r="Y71" s="30" t="n"/>
      <c r="Z71" s="30" t="n"/>
    </row>
    <row r="72" ht="15.75" customHeight="1" s="134">
      <c r="A72" s="66" t="n"/>
      <c r="B72" s="66" t="n"/>
      <c r="C72" s="66" t="n"/>
      <c r="D72" s="66" t="n"/>
      <c r="E72" s="66" t="n"/>
      <c r="F72" s="66" t="n"/>
      <c r="G72" s="66" t="n"/>
      <c r="H72" s="30" t="n"/>
      <c r="I72" s="30" t="n"/>
      <c r="J72" s="30" t="n"/>
      <c r="K72" s="30" t="n"/>
      <c r="L72" s="30" t="n"/>
      <c r="M72" s="30" t="n"/>
      <c r="N72" s="30" t="n"/>
      <c r="O72" s="30" t="n"/>
      <c r="P72" s="30" t="n"/>
      <c r="Q72" s="30" t="n"/>
      <c r="R72" s="30" t="n"/>
      <c r="S72" s="30" t="n"/>
      <c r="T72" s="30" t="n"/>
      <c r="U72" s="30" t="n"/>
      <c r="V72" s="30" t="n"/>
      <c r="W72" s="30" t="n"/>
      <c r="X72" s="30" t="n"/>
      <c r="Y72" s="30" t="n"/>
      <c r="Z72" s="30" t="n"/>
    </row>
    <row r="73" ht="15.75" customHeight="1" s="134">
      <c r="A73" s="66" t="n"/>
      <c r="B73" s="66" t="n"/>
      <c r="C73" s="66" t="n"/>
      <c r="D73" s="66" t="n"/>
      <c r="E73" s="66" t="n"/>
      <c r="F73" s="66" t="n"/>
      <c r="G73" s="66" t="n"/>
      <c r="H73" s="30" t="n"/>
      <c r="I73" s="30" t="n"/>
      <c r="J73" s="30" t="n"/>
      <c r="K73" s="30" t="n"/>
      <c r="L73" s="30" t="n"/>
      <c r="M73" s="30" t="n"/>
      <c r="N73" s="30" t="n"/>
      <c r="O73" s="30" t="n"/>
      <c r="P73" s="30" t="n"/>
      <c r="Q73" s="30" t="n"/>
      <c r="R73" s="30" t="n"/>
      <c r="S73" s="30" t="n"/>
      <c r="T73" s="30" t="n"/>
      <c r="U73" s="30" t="n"/>
      <c r="V73" s="30" t="n"/>
      <c r="W73" s="30" t="n"/>
      <c r="X73" s="30" t="n"/>
      <c r="Y73" s="30" t="n"/>
      <c r="Z73" s="30" t="n"/>
    </row>
    <row r="74" ht="15.75" customHeight="1" s="134">
      <c r="A74" s="66" t="n"/>
      <c r="B74" s="66" t="n"/>
      <c r="C74" s="66" t="n"/>
      <c r="D74" s="66" t="n"/>
      <c r="E74" s="66" t="n"/>
      <c r="F74" s="66" t="n"/>
      <c r="G74" s="66" t="n"/>
      <c r="H74" s="30" t="n"/>
      <c r="I74" s="30" t="n"/>
      <c r="J74" s="30" t="n"/>
      <c r="K74" s="30" t="n"/>
      <c r="L74" s="30" t="n"/>
      <c r="M74" s="30" t="n"/>
      <c r="N74" s="30" t="n"/>
      <c r="O74" s="30" t="n"/>
      <c r="P74" s="30" t="n"/>
      <c r="Q74" s="30" t="n"/>
      <c r="R74" s="30" t="n"/>
      <c r="S74" s="30" t="n"/>
      <c r="T74" s="30" t="n"/>
      <c r="U74" s="30" t="n"/>
      <c r="V74" s="30" t="n"/>
      <c r="W74" s="30" t="n"/>
      <c r="X74" s="30" t="n"/>
      <c r="Y74" s="30" t="n"/>
      <c r="Z74" s="30" t="n"/>
    </row>
    <row r="75" ht="15.75" customHeight="1" s="134">
      <c r="A75" s="66" t="n"/>
      <c r="B75" s="66" t="n"/>
      <c r="C75" s="66" t="n"/>
      <c r="D75" s="66" t="n"/>
      <c r="E75" s="66" t="n"/>
      <c r="F75" s="66" t="n"/>
      <c r="G75" s="66" t="n"/>
      <c r="H75" s="30" t="n"/>
      <c r="I75" s="30" t="n"/>
      <c r="J75" s="30" t="n"/>
      <c r="K75" s="30" t="n"/>
      <c r="L75" s="30" t="n"/>
      <c r="M75" s="30" t="n"/>
      <c r="N75" s="30" t="n"/>
      <c r="O75" s="30" t="n"/>
      <c r="P75" s="30" t="n"/>
      <c r="Q75" s="30" t="n"/>
      <c r="R75" s="30" t="n"/>
      <c r="S75" s="30" t="n"/>
      <c r="T75" s="30" t="n"/>
      <c r="U75" s="30" t="n"/>
      <c r="V75" s="30" t="n"/>
      <c r="W75" s="30" t="n"/>
      <c r="X75" s="30" t="n"/>
      <c r="Y75" s="30" t="n"/>
      <c r="Z75" s="30" t="n"/>
    </row>
    <row r="76" ht="15.75" customHeight="1" s="134">
      <c r="A76" s="66" t="n"/>
      <c r="B76" s="66" t="n"/>
      <c r="C76" s="66" t="n"/>
      <c r="D76" s="66" t="n"/>
      <c r="E76" s="66" t="n"/>
      <c r="F76" s="66" t="n"/>
      <c r="G76" s="66" t="n"/>
      <c r="H76" s="30" t="n"/>
      <c r="I76" s="30" t="n"/>
      <c r="J76" s="30" t="n"/>
      <c r="K76" s="30" t="n"/>
      <c r="L76" s="30" t="n"/>
      <c r="M76" s="30" t="n"/>
      <c r="N76" s="30" t="n"/>
      <c r="O76" s="30" t="n"/>
      <c r="P76" s="30" t="n"/>
      <c r="Q76" s="30" t="n"/>
      <c r="R76" s="30" t="n"/>
      <c r="S76" s="30" t="n"/>
      <c r="T76" s="30" t="n"/>
      <c r="U76" s="30" t="n"/>
      <c r="V76" s="30" t="n"/>
      <c r="W76" s="30" t="n"/>
      <c r="X76" s="30" t="n"/>
      <c r="Y76" s="30" t="n"/>
      <c r="Z76" s="30" t="n"/>
    </row>
    <row r="77" ht="15.75" customHeight="1" s="134">
      <c r="A77" s="66" t="n"/>
      <c r="B77" s="66" t="n"/>
      <c r="C77" s="66" t="n"/>
      <c r="D77" s="66" t="n"/>
      <c r="E77" s="66" t="n"/>
      <c r="F77" s="66" t="n"/>
      <c r="G77" s="66" t="n"/>
      <c r="H77" s="30" t="n"/>
      <c r="I77" s="30" t="n"/>
      <c r="J77" s="30" t="n"/>
      <c r="K77" s="30" t="n"/>
      <c r="L77" s="30" t="n"/>
      <c r="M77" s="30" t="n"/>
      <c r="N77" s="30" t="n"/>
      <c r="O77" s="30" t="n"/>
      <c r="P77" s="30" t="n"/>
      <c r="Q77" s="30" t="n"/>
      <c r="R77" s="30" t="n"/>
      <c r="S77" s="30" t="n"/>
      <c r="T77" s="30" t="n"/>
      <c r="U77" s="30" t="n"/>
      <c r="V77" s="30" t="n"/>
      <c r="W77" s="30" t="n"/>
      <c r="X77" s="30" t="n"/>
      <c r="Y77" s="30" t="n"/>
      <c r="Z77" s="30" t="n"/>
    </row>
    <row r="78" ht="15.75" customHeight="1" s="134">
      <c r="A78" s="66" t="n"/>
      <c r="B78" s="66" t="n"/>
      <c r="C78" s="66" t="n"/>
      <c r="D78" s="66" t="n"/>
      <c r="E78" s="66" t="n"/>
      <c r="F78" s="66" t="n"/>
      <c r="G78" s="66" t="n"/>
      <c r="H78" s="30" t="n"/>
      <c r="I78" s="30" t="n"/>
      <c r="J78" s="30" t="n"/>
      <c r="K78" s="30" t="n"/>
      <c r="L78" s="30" t="n"/>
      <c r="M78" s="30" t="n"/>
      <c r="N78" s="30" t="n"/>
      <c r="O78" s="30" t="n"/>
      <c r="P78" s="30" t="n"/>
      <c r="Q78" s="30" t="n"/>
      <c r="R78" s="30" t="n"/>
      <c r="S78" s="30" t="n"/>
      <c r="T78" s="30" t="n"/>
      <c r="U78" s="30" t="n"/>
      <c r="V78" s="30" t="n"/>
      <c r="W78" s="30" t="n"/>
      <c r="X78" s="30" t="n"/>
      <c r="Y78" s="30" t="n"/>
      <c r="Z78" s="30" t="n"/>
    </row>
    <row r="79" ht="15.75" customHeight="1" s="134">
      <c r="A79" s="66" t="n"/>
      <c r="B79" s="66" t="n"/>
      <c r="C79" s="66" t="n"/>
      <c r="D79" s="66" t="n"/>
      <c r="E79" s="66" t="n"/>
      <c r="F79" s="66" t="n"/>
      <c r="G79" s="66" t="n"/>
      <c r="H79" s="30" t="n"/>
      <c r="I79" s="30" t="n"/>
      <c r="J79" s="30" t="n"/>
      <c r="K79" s="30" t="n"/>
      <c r="L79" s="30" t="n"/>
      <c r="M79" s="30" t="n"/>
      <c r="N79" s="30" t="n"/>
      <c r="O79" s="30" t="n"/>
      <c r="P79" s="30" t="n"/>
      <c r="Q79" s="30" t="n"/>
      <c r="R79" s="30" t="n"/>
      <c r="S79" s="30" t="n"/>
      <c r="T79" s="30" t="n"/>
      <c r="U79" s="30" t="n"/>
      <c r="V79" s="30" t="n"/>
      <c r="W79" s="30" t="n"/>
      <c r="X79" s="30" t="n"/>
      <c r="Y79" s="30" t="n"/>
      <c r="Z79" s="30" t="n"/>
    </row>
    <row r="80" ht="15.75" customHeight="1" s="134">
      <c r="A80" s="66" t="n"/>
      <c r="B80" s="66" t="n"/>
      <c r="C80" s="66" t="n"/>
      <c r="D80" s="66" t="n"/>
      <c r="E80" s="66" t="n"/>
      <c r="F80" s="66" t="n"/>
      <c r="G80" s="66" t="n"/>
      <c r="H80" s="30" t="n"/>
      <c r="I80" s="30" t="n"/>
      <c r="J80" s="30" t="n"/>
      <c r="K80" s="30" t="n"/>
      <c r="L80" s="30" t="n"/>
      <c r="M80" s="30" t="n"/>
      <c r="N80" s="30" t="n"/>
      <c r="O80" s="30" t="n"/>
      <c r="P80" s="30" t="n"/>
      <c r="Q80" s="30" t="n"/>
      <c r="R80" s="30" t="n"/>
      <c r="S80" s="30" t="n"/>
      <c r="T80" s="30" t="n"/>
      <c r="U80" s="30" t="n"/>
      <c r="V80" s="30" t="n"/>
      <c r="W80" s="30" t="n"/>
      <c r="X80" s="30" t="n"/>
      <c r="Y80" s="30" t="n"/>
      <c r="Z80" s="30" t="n"/>
    </row>
    <row r="81" ht="15.75" customHeight="1" s="134">
      <c r="A81" s="66" t="n"/>
      <c r="B81" s="66" t="n"/>
      <c r="C81" s="66" t="n"/>
      <c r="D81" s="66" t="n"/>
      <c r="E81" s="66" t="n"/>
      <c r="F81" s="66" t="n"/>
      <c r="G81" s="66" t="n"/>
      <c r="H81" s="30" t="n"/>
      <c r="I81" s="30" t="n"/>
      <c r="J81" s="30" t="n"/>
      <c r="K81" s="30" t="n"/>
      <c r="L81" s="30" t="n"/>
      <c r="M81" s="30" t="n"/>
      <c r="N81" s="30" t="n"/>
      <c r="O81" s="30" t="n"/>
      <c r="P81" s="30" t="n"/>
      <c r="Q81" s="30" t="n"/>
      <c r="R81" s="30" t="n"/>
      <c r="S81" s="30" t="n"/>
      <c r="T81" s="30" t="n"/>
      <c r="U81" s="30" t="n"/>
      <c r="V81" s="30" t="n"/>
      <c r="W81" s="30" t="n"/>
      <c r="X81" s="30" t="n"/>
      <c r="Y81" s="30" t="n"/>
      <c r="Z81" s="30" t="n"/>
    </row>
    <row r="82" ht="15.75" customHeight="1" s="134">
      <c r="A82" s="66" t="n"/>
      <c r="B82" s="66" t="n"/>
      <c r="C82" s="66" t="n"/>
      <c r="D82" s="66" t="n"/>
      <c r="E82" s="66" t="n"/>
      <c r="F82" s="66" t="n"/>
      <c r="G82" s="66" t="n"/>
      <c r="H82" s="30" t="n"/>
      <c r="I82" s="30" t="n"/>
      <c r="J82" s="30" t="n"/>
      <c r="K82" s="30" t="n"/>
      <c r="L82" s="30" t="n"/>
      <c r="M82" s="30" t="n"/>
      <c r="N82" s="30" t="n"/>
      <c r="O82" s="30" t="n"/>
      <c r="P82" s="30" t="n"/>
      <c r="Q82" s="30" t="n"/>
      <c r="R82" s="30" t="n"/>
      <c r="S82" s="30" t="n"/>
      <c r="T82" s="30" t="n"/>
      <c r="U82" s="30" t="n"/>
      <c r="V82" s="30" t="n"/>
      <c r="W82" s="30" t="n"/>
      <c r="X82" s="30" t="n"/>
      <c r="Y82" s="30" t="n"/>
      <c r="Z82" s="30" t="n"/>
    </row>
    <row r="83" ht="15.75" customHeight="1" s="134">
      <c r="A83" s="66" t="n"/>
      <c r="B83" s="66" t="n"/>
      <c r="C83" s="66" t="n"/>
      <c r="D83" s="66" t="n"/>
      <c r="E83" s="66" t="n"/>
      <c r="F83" s="66" t="n"/>
      <c r="G83" s="66" t="n"/>
      <c r="H83" s="30" t="n"/>
      <c r="I83" s="30" t="n"/>
      <c r="J83" s="30" t="n"/>
      <c r="K83" s="30" t="n"/>
      <c r="L83" s="30" t="n"/>
      <c r="M83" s="30" t="n"/>
      <c r="N83" s="30" t="n"/>
      <c r="O83" s="30" t="n"/>
      <c r="P83" s="30" t="n"/>
      <c r="Q83" s="30" t="n"/>
      <c r="R83" s="30" t="n"/>
      <c r="S83" s="30" t="n"/>
      <c r="T83" s="30" t="n"/>
      <c r="U83" s="30" t="n"/>
      <c r="V83" s="30" t="n"/>
      <c r="W83" s="30" t="n"/>
      <c r="X83" s="30" t="n"/>
      <c r="Y83" s="30" t="n"/>
      <c r="Z83" s="30" t="n"/>
    </row>
    <row r="84" ht="15.75" customHeight="1" s="134">
      <c r="A84" s="66" t="n"/>
      <c r="B84" s="66" t="n"/>
      <c r="C84" s="66" t="n"/>
      <c r="D84" s="66" t="n"/>
      <c r="E84" s="66" t="n"/>
      <c r="F84" s="66" t="n"/>
      <c r="G84" s="66" t="n"/>
      <c r="H84" s="30" t="n"/>
      <c r="I84" s="30" t="n"/>
      <c r="J84" s="30" t="n"/>
      <c r="K84" s="30" t="n"/>
      <c r="L84" s="30" t="n"/>
      <c r="M84" s="30" t="n"/>
      <c r="N84" s="30" t="n"/>
      <c r="O84" s="30" t="n"/>
      <c r="P84" s="30" t="n"/>
      <c r="Q84" s="30" t="n"/>
      <c r="R84" s="30" t="n"/>
      <c r="S84" s="30" t="n"/>
      <c r="T84" s="30" t="n"/>
      <c r="U84" s="30" t="n"/>
      <c r="V84" s="30" t="n"/>
      <c r="W84" s="30" t="n"/>
      <c r="X84" s="30" t="n"/>
      <c r="Y84" s="30" t="n"/>
      <c r="Z84" s="30" t="n"/>
    </row>
    <row r="85" ht="15.75" customHeight="1" s="134">
      <c r="A85" s="66" t="n"/>
      <c r="B85" s="66" t="n"/>
      <c r="C85" s="66" t="n"/>
      <c r="D85" s="66" t="n"/>
      <c r="E85" s="66" t="n"/>
      <c r="F85" s="66" t="n"/>
      <c r="G85" s="66" t="n"/>
      <c r="H85" s="30" t="n"/>
      <c r="I85" s="30" t="n"/>
      <c r="J85" s="30" t="n"/>
      <c r="K85" s="30" t="n"/>
      <c r="L85" s="30" t="n"/>
      <c r="M85" s="30" t="n"/>
      <c r="N85" s="30" t="n"/>
      <c r="O85" s="30" t="n"/>
      <c r="P85" s="30" t="n"/>
      <c r="Q85" s="30" t="n"/>
      <c r="R85" s="30" t="n"/>
      <c r="S85" s="30" t="n"/>
      <c r="T85" s="30" t="n"/>
      <c r="U85" s="30" t="n"/>
      <c r="V85" s="30" t="n"/>
      <c r="W85" s="30" t="n"/>
      <c r="X85" s="30" t="n"/>
      <c r="Y85" s="30" t="n"/>
      <c r="Z85" s="30" t="n"/>
    </row>
    <row r="86" ht="15.75" customHeight="1" s="134">
      <c r="A86" s="66" t="n"/>
      <c r="B86" s="66" t="n"/>
      <c r="C86" s="66" t="n"/>
      <c r="D86" s="66" t="n"/>
      <c r="E86" s="66" t="n"/>
      <c r="F86" s="66" t="n"/>
      <c r="G86" s="66" t="n"/>
      <c r="H86" s="30" t="n"/>
      <c r="I86" s="30" t="n"/>
      <c r="J86" s="30" t="n"/>
      <c r="K86" s="30" t="n"/>
      <c r="L86" s="30" t="n"/>
      <c r="M86" s="30" t="n"/>
      <c r="N86" s="30" t="n"/>
      <c r="O86" s="30" t="n"/>
      <c r="P86" s="30" t="n"/>
      <c r="Q86" s="30" t="n"/>
      <c r="R86" s="30" t="n"/>
      <c r="S86" s="30" t="n"/>
      <c r="T86" s="30" t="n"/>
      <c r="U86" s="30" t="n"/>
      <c r="V86" s="30" t="n"/>
      <c r="W86" s="30" t="n"/>
      <c r="X86" s="30" t="n"/>
      <c r="Y86" s="30" t="n"/>
      <c r="Z86" s="30" t="n"/>
    </row>
    <row r="87" ht="15.75" customHeight="1" s="134">
      <c r="A87" s="66" t="n"/>
      <c r="B87" s="66" t="n"/>
      <c r="C87" s="66" t="n"/>
      <c r="D87" s="66" t="n"/>
      <c r="E87" s="66" t="n"/>
      <c r="F87" s="66" t="n"/>
      <c r="G87" s="66" t="n"/>
      <c r="H87" s="30" t="n"/>
      <c r="I87" s="30" t="n"/>
      <c r="J87" s="30" t="n"/>
      <c r="K87" s="30" t="n"/>
      <c r="L87" s="30" t="n"/>
      <c r="M87" s="30" t="n"/>
      <c r="N87" s="30" t="n"/>
      <c r="O87" s="30" t="n"/>
      <c r="P87" s="30" t="n"/>
      <c r="Q87" s="30" t="n"/>
      <c r="R87" s="30" t="n"/>
      <c r="S87" s="30" t="n"/>
      <c r="T87" s="30" t="n"/>
      <c r="U87" s="30" t="n"/>
      <c r="V87" s="30" t="n"/>
      <c r="W87" s="30" t="n"/>
      <c r="X87" s="30" t="n"/>
      <c r="Y87" s="30" t="n"/>
      <c r="Z87" s="30" t="n"/>
    </row>
    <row r="88" ht="15.75" customHeight="1" s="134">
      <c r="A88" s="66" t="n"/>
      <c r="B88" s="66" t="n"/>
      <c r="C88" s="66" t="n"/>
      <c r="D88" s="66" t="n"/>
      <c r="E88" s="66" t="n"/>
      <c r="F88" s="66" t="n"/>
      <c r="G88" s="66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  <c r="X88" s="30" t="n"/>
      <c r="Y88" s="30" t="n"/>
      <c r="Z88" s="30" t="n"/>
    </row>
    <row r="89" ht="15.75" customHeight="1" s="134">
      <c r="A89" s="66" t="n"/>
      <c r="B89" s="66" t="n"/>
      <c r="C89" s="66" t="n"/>
      <c r="D89" s="66" t="n"/>
      <c r="E89" s="66" t="n"/>
      <c r="F89" s="66" t="n"/>
      <c r="G89" s="66" t="n"/>
      <c r="H89" s="30" t="n"/>
      <c r="I89" s="30" t="n"/>
      <c r="J89" s="30" t="n"/>
      <c r="K89" s="30" t="n"/>
      <c r="L89" s="30" t="n"/>
      <c r="M89" s="30" t="n"/>
      <c r="N89" s="30" t="n"/>
      <c r="O89" s="30" t="n"/>
      <c r="P89" s="30" t="n"/>
      <c r="Q89" s="30" t="n"/>
      <c r="R89" s="30" t="n"/>
      <c r="S89" s="30" t="n"/>
      <c r="T89" s="30" t="n"/>
      <c r="U89" s="30" t="n"/>
      <c r="V89" s="30" t="n"/>
      <c r="W89" s="30" t="n"/>
      <c r="X89" s="30" t="n"/>
      <c r="Y89" s="30" t="n"/>
      <c r="Z89" s="30" t="n"/>
    </row>
    <row r="90" ht="15.75" customHeight="1" s="134">
      <c r="A90" s="66" t="n"/>
      <c r="B90" s="66" t="n"/>
      <c r="C90" s="66" t="n"/>
      <c r="D90" s="66" t="n"/>
      <c r="E90" s="66" t="n"/>
      <c r="F90" s="66" t="n"/>
      <c r="G90" s="66" t="n"/>
      <c r="H90" s="30" t="n"/>
      <c r="I90" s="30" t="n"/>
      <c r="J90" s="30" t="n"/>
      <c r="K90" s="30" t="n"/>
      <c r="L90" s="30" t="n"/>
      <c r="M90" s="30" t="n"/>
      <c r="N90" s="30" t="n"/>
      <c r="O90" s="30" t="n"/>
      <c r="P90" s="30" t="n"/>
      <c r="Q90" s="30" t="n"/>
      <c r="R90" s="30" t="n"/>
      <c r="S90" s="30" t="n"/>
      <c r="T90" s="30" t="n"/>
      <c r="U90" s="30" t="n"/>
      <c r="V90" s="30" t="n"/>
      <c r="W90" s="30" t="n"/>
      <c r="X90" s="30" t="n"/>
      <c r="Y90" s="30" t="n"/>
      <c r="Z90" s="30" t="n"/>
    </row>
    <row r="91" ht="15.75" customHeight="1" s="134">
      <c r="A91" s="66" t="n"/>
      <c r="B91" s="66" t="n"/>
      <c r="C91" s="66" t="n"/>
      <c r="D91" s="66" t="n"/>
      <c r="E91" s="66" t="n"/>
      <c r="F91" s="66" t="n"/>
      <c r="G91" s="66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0" t="n"/>
      <c r="R91" s="30" t="n"/>
      <c r="S91" s="30" t="n"/>
      <c r="T91" s="30" t="n"/>
      <c r="U91" s="30" t="n"/>
      <c r="V91" s="30" t="n"/>
      <c r="W91" s="30" t="n"/>
      <c r="X91" s="30" t="n"/>
      <c r="Y91" s="30" t="n"/>
      <c r="Z91" s="30" t="n"/>
    </row>
    <row r="92" ht="15.75" customHeight="1" s="134">
      <c r="A92" s="66" t="n"/>
      <c r="B92" s="66" t="n"/>
      <c r="C92" s="66" t="n"/>
      <c r="D92" s="66" t="n"/>
      <c r="E92" s="66" t="n"/>
      <c r="F92" s="66" t="n"/>
      <c r="G92" s="66" t="n"/>
      <c r="H92" s="30" t="n"/>
      <c r="I92" s="30" t="n"/>
      <c r="J92" s="30" t="n"/>
      <c r="K92" s="30" t="n"/>
      <c r="L92" s="30" t="n"/>
      <c r="M92" s="30" t="n"/>
      <c r="N92" s="30" t="n"/>
      <c r="O92" s="30" t="n"/>
      <c r="P92" s="30" t="n"/>
      <c r="Q92" s="30" t="n"/>
      <c r="R92" s="30" t="n"/>
      <c r="S92" s="30" t="n"/>
      <c r="T92" s="30" t="n"/>
      <c r="U92" s="30" t="n"/>
      <c r="V92" s="30" t="n"/>
      <c r="W92" s="30" t="n"/>
      <c r="X92" s="30" t="n"/>
      <c r="Y92" s="30" t="n"/>
      <c r="Z92" s="30" t="n"/>
    </row>
    <row r="93" ht="15.75" customHeight="1" s="134">
      <c r="A93" s="66" t="n"/>
      <c r="B93" s="66" t="n"/>
      <c r="C93" s="66" t="n"/>
      <c r="D93" s="66" t="n"/>
      <c r="E93" s="66" t="n"/>
      <c r="F93" s="66" t="n"/>
      <c r="G93" s="66" t="n"/>
      <c r="H93" s="30" t="n"/>
      <c r="I93" s="30" t="n"/>
      <c r="J93" s="30" t="n"/>
      <c r="K93" s="30" t="n"/>
      <c r="L93" s="30" t="n"/>
      <c r="M93" s="30" t="n"/>
      <c r="N93" s="30" t="n"/>
      <c r="O93" s="30" t="n"/>
      <c r="P93" s="30" t="n"/>
      <c r="Q93" s="30" t="n"/>
      <c r="R93" s="30" t="n"/>
      <c r="S93" s="30" t="n"/>
      <c r="T93" s="30" t="n"/>
      <c r="U93" s="30" t="n"/>
      <c r="V93" s="30" t="n"/>
      <c r="W93" s="30" t="n"/>
      <c r="X93" s="30" t="n"/>
      <c r="Y93" s="30" t="n"/>
      <c r="Z93" s="30" t="n"/>
    </row>
    <row r="94" ht="15.75" customHeight="1" s="134">
      <c r="A94" s="66" t="n"/>
      <c r="B94" s="66" t="n"/>
      <c r="C94" s="66" t="n"/>
      <c r="D94" s="66" t="n"/>
      <c r="E94" s="66" t="n"/>
      <c r="F94" s="66" t="n"/>
      <c r="G94" s="66" t="n"/>
      <c r="H94" s="30" t="n"/>
      <c r="I94" s="30" t="n"/>
      <c r="J94" s="30" t="n"/>
      <c r="K94" s="30" t="n"/>
      <c r="L94" s="30" t="n"/>
      <c r="M94" s="30" t="n"/>
      <c r="N94" s="30" t="n"/>
      <c r="O94" s="30" t="n"/>
      <c r="P94" s="30" t="n"/>
      <c r="Q94" s="30" t="n"/>
      <c r="R94" s="30" t="n"/>
      <c r="S94" s="30" t="n"/>
      <c r="T94" s="30" t="n"/>
      <c r="U94" s="30" t="n"/>
      <c r="V94" s="30" t="n"/>
      <c r="W94" s="30" t="n"/>
      <c r="X94" s="30" t="n"/>
      <c r="Y94" s="30" t="n"/>
      <c r="Z94" s="30" t="n"/>
    </row>
    <row r="95" ht="15.75" customHeight="1" s="134">
      <c r="A95" s="66" t="n"/>
      <c r="B95" s="66" t="n"/>
      <c r="C95" s="66" t="n"/>
      <c r="D95" s="66" t="n"/>
      <c r="E95" s="66" t="n"/>
      <c r="F95" s="66" t="n"/>
      <c r="G95" s="66" t="n"/>
      <c r="H95" s="30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  <c r="Z95" s="30" t="n"/>
    </row>
    <row r="96" ht="15.75" customHeight="1" s="134">
      <c r="A96" s="66" t="n"/>
      <c r="B96" s="66" t="n"/>
      <c r="C96" s="66" t="n"/>
      <c r="D96" s="66" t="n"/>
      <c r="E96" s="66" t="n"/>
      <c r="F96" s="66" t="n"/>
      <c r="G96" s="66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0" t="n"/>
      <c r="W96" s="30" t="n"/>
      <c r="X96" s="30" t="n"/>
      <c r="Y96" s="30" t="n"/>
      <c r="Z96" s="30" t="n"/>
    </row>
    <row r="97" ht="15.75" customHeight="1" s="134">
      <c r="A97" s="66" t="n"/>
      <c r="B97" s="66" t="n"/>
      <c r="C97" s="66" t="n"/>
      <c r="D97" s="66" t="n"/>
      <c r="E97" s="66" t="n"/>
      <c r="F97" s="66" t="n"/>
      <c r="G97" s="66" t="n"/>
      <c r="H97" s="30" t="n"/>
      <c r="I97" s="30" t="n"/>
      <c r="J97" s="30" t="n"/>
      <c r="K97" s="30" t="n"/>
      <c r="L97" s="30" t="n"/>
      <c r="M97" s="30" t="n"/>
      <c r="N97" s="30" t="n"/>
      <c r="O97" s="30" t="n"/>
      <c r="P97" s="30" t="n"/>
      <c r="Q97" s="30" t="n"/>
      <c r="R97" s="30" t="n"/>
      <c r="S97" s="30" t="n"/>
      <c r="T97" s="30" t="n"/>
      <c r="U97" s="30" t="n"/>
      <c r="V97" s="30" t="n"/>
      <c r="W97" s="30" t="n"/>
      <c r="X97" s="30" t="n"/>
      <c r="Y97" s="30" t="n"/>
      <c r="Z97" s="30" t="n"/>
    </row>
    <row r="98" ht="15.75" customHeight="1" s="134">
      <c r="A98" s="66" t="n"/>
      <c r="B98" s="66" t="n"/>
      <c r="C98" s="66" t="n"/>
      <c r="D98" s="66" t="n"/>
      <c r="E98" s="66" t="n"/>
      <c r="F98" s="66" t="n"/>
      <c r="G98" s="66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0" t="n"/>
      <c r="W98" s="30" t="n"/>
      <c r="X98" s="30" t="n"/>
      <c r="Y98" s="30" t="n"/>
      <c r="Z98" s="30" t="n"/>
    </row>
    <row r="99" ht="15.75" customHeight="1" s="134">
      <c r="A99" s="66" t="n"/>
      <c r="B99" s="66" t="n"/>
      <c r="C99" s="66" t="n"/>
      <c r="D99" s="66" t="n"/>
      <c r="E99" s="66" t="n"/>
      <c r="F99" s="66" t="n"/>
      <c r="G99" s="66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0" t="n"/>
      <c r="W99" s="30" t="n"/>
      <c r="X99" s="30" t="n"/>
      <c r="Y99" s="30" t="n"/>
      <c r="Z99" s="30" t="n"/>
    </row>
    <row r="100" ht="15.75" customHeight="1" s="134">
      <c r="A100" s="66" t="n"/>
      <c r="B100" s="66" t="n"/>
      <c r="C100" s="66" t="n"/>
      <c r="D100" s="66" t="n"/>
      <c r="E100" s="66" t="n"/>
      <c r="F100" s="66" t="n"/>
      <c r="G100" s="66" t="n"/>
      <c r="H100" s="30" t="n"/>
      <c r="I100" s="30" t="n"/>
      <c r="J100" s="30" t="n"/>
      <c r="K100" s="30" t="n"/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/>
      <c r="U100" s="30" t="n"/>
      <c r="V100" s="30" t="n"/>
      <c r="W100" s="30" t="n"/>
      <c r="X100" s="30" t="n"/>
      <c r="Y100" s="30" t="n"/>
      <c r="Z100" s="30" t="n"/>
    </row>
    <row r="101" ht="15.75" customHeight="1" s="134">
      <c r="A101" s="66" t="n"/>
      <c r="B101" s="66" t="n"/>
      <c r="C101" s="66" t="n"/>
      <c r="D101" s="66" t="n"/>
      <c r="E101" s="66" t="n"/>
      <c r="F101" s="66" t="n"/>
      <c r="G101" s="66" t="n"/>
      <c r="H101" s="30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/>
      <c r="U101" s="30" t="n"/>
      <c r="V101" s="30" t="n"/>
      <c r="W101" s="30" t="n"/>
      <c r="X101" s="30" t="n"/>
      <c r="Y101" s="30" t="n"/>
      <c r="Z101" s="30" t="n"/>
    </row>
    <row r="102" ht="15.75" customHeight="1" s="134">
      <c r="A102" s="66" t="n"/>
      <c r="B102" s="66" t="n"/>
      <c r="C102" s="66" t="n"/>
      <c r="D102" s="66" t="n"/>
      <c r="E102" s="66" t="n"/>
      <c r="F102" s="66" t="n"/>
      <c r="G102" s="66" t="n"/>
      <c r="H102" s="30" t="n"/>
      <c r="I102" s="30" t="n"/>
      <c r="J102" s="30" t="n"/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n"/>
      <c r="U102" s="30" t="n"/>
      <c r="V102" s="30" t="n"/>
      <c r="W102" s="30" t="n"/>
      <c r="X102" s="30" t="n"/>
      <c r="Y102" s="30" t="n"/>
      <c r="Z102" s="30" t="n"/>
    </row>
    <row r="103" ht="15.75" customHeight="1" s="134">
      <c r="A103" s="66" t="n"/>
      <c r="B103" s="66" t="n"/>
      <c r="C103" s="66" t="n"/>
      <c r="D103" s="66" t="n"/>
      <c r="E103" s="66" t="n"/>
      <c r="F103" s="66" t="n"/>
      <c r="G103" s="66" t="n"/>
      <c r="H103" s="30" t="n"/>
      <c r="I103" s="30" t="n"/>
      <c r="J103" s="30" t="n"/>
      <c r="K103" s="30" t="n"/>
      <c r="L103" s="30" t="n"/>
      <c r="M103" s="30" t="n"/>
      <c r="N103" s="30" t="n"/>
      <c r="O103" s="30" t="n"/>
      <c r="P103" s="30" t="n"/>
      <c r="Q103" s="30" t="n"/>
      <c r="R103" s="30" t="n"/>
      <c r="S103" s="30" t="n"/>
      <c r="T103" s="30" t="n"/>
      <c r="U103" s="30" t="n"/>
      <c r="V103" s="30" t="n"/>
      <c r="W103" s="30" t="n"/>
      <c r="X103" s="30" t="n"/>
      <c r="Y103" s="30" t="n"/>
      <c r="Z103" s="30" t="n"/>
    </row>
    <row r="104" ht="15.75" customHeight="1" s="134">
      <c r="A104" s="66" t="n"/>
      <c r="B104" s="66" t="n"/>
      <c r="C104" s="66" t="n"/>
      <c r="D104" s="66" t="n"/>
      <c r="E104" s="66" t="n"/>
      <c r="F104" s="66" t="n"/>
      <c r="G104" s="66" t="n"/>
      <c r="H104" s="30" t="n"/>
      <c r="I104" s="30" t="n"/>
      <c r="J104" s="30" t="n"/>
      <c r="K104" s="30" t="n"/>
      <c r="L104" s="30" t="n"/>
      <c r="M104" s="30" t="n"/>
      <c r="N104" s="30" t="n"/>
      <c r="O104" s="30" t="n"/>
      <c r="P104" s="30" t="n"/>
      <c r="Q104" s="30" t="n"/>
      <c r="R104" s="30" t="n"/>
      <c r="S104" s="30" t="n"/>
      <c r="T104" s="30" t="n"/>
      <c r="U104" s="30" t="n"/>
      <c r="V104" s="30" t="n"/>
      <c r="W104" s="30" t="n"/>
      <c r="X104" s="30" t="n"/>
      <c r="Y104" s="30" t="n"/>
      <c r="Z104" s="30" t="n"/>
    </row>
    <row r="105" ht="15.75" customHeight="1" s="134">
      <c r="A105" s="66" t="n"/>
      <c r="B105" s="66" t="n"/>
      <c r="C105" s="66" t="n"/>
      <c r="D105" s="66" t="n"/>
      <c r="E105" s="66" t="n"/>
      <c r="F105" s="66" t="n"/>
      <c r="G105" s="66" t="n"/>
      <c r="H105" s="30" t="n"/>
      <c r="I105" s="30" t="n"/>
      <c r="J105" s="30" t="n"/>
      <c r="K105" s="30" t="n"/>
      <c r="L105" s="30" t="n"/>
      <c r="M105" s="30" t="n"/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30" t="n"/>
      <c r="W105" s="30" t="n"/>
      <c r="X105" s="30" t="n"/>
      <c r="Y105" s="30" t="n"/>
      <c r="Z105" s="30" t="n"/>
    </row>
    <row r="106" ht="15.75" customHeight="1" s="134">
      <c r="A106" s="66" t="n"/>
      <c r="B106" s="66" t="n"/>
      <c r="C106" s="66" t="n"/>
      <c r="D106" s="66" t="n"/>
      <c r="E106" s="66" t="n"/>
      <c r="F106" s="66" t="n"/>
      <c r="G106" s="66" t="n"/>
      <c r="H106" s="30" t="n"/>
      <c r="I106" s="30" t="n"/>
      <c r="J106" s="30" t="n"/>
      <c r="K106" s="30" t="n"/>
      <c r="L106" s="30" t="n"/>
      <c r="M106" s="30" t="n"/>
      <c r="N106" s="30" t="n"/>
      <c r="O106" s="30" t="n"/>
      <c r="P106" s="30" t="n"/>
      <c r="Q106" s="30" t="n"/>
      <c r="R106" s="30" t="n"/>
      <c r="S106" s="30" t="n"/>
      <c r="T106" s="30" t="n"/>
      <c r="U106" s="30" t="n"/>
      <c r="V106" s="30" t="n"/>
      <c r="W106" s="30" t="n"/>
      <c r="X106" s="30" t="n"/>
      <c r="Y106" s="30" t="n"/>
      <c r="Z106" s="30" t="n"/>
    </row>
    <row r="107" ht="15.75" customHeight="1" s="134">
      <c r="A107" s="66" t="n"/>
      <c r="B107" s="66" t="n"/>
      <c r="C107" s="66" t="n"/>
      <c r="D107" s="66" t="n"/>
      <c r="E107" s="66" t="n"/>
      <c r="F107" s="66" t="n"/>
      <c r="G107" s="66" t="n"/>
      <c r="H107" s="30" t="n"/>
      <c r="I107" s="30" t="n"/>
      <c r="J107" s="30" t="n"/>
      <c r="K107" s="30" t="n"/>
      <c r="L107" s="30" t="n"/>
      <c r="M107" s="30" t="n"/>
      <c r="N107" s="30" t="n"/>
      <c r="O107" s="30" t="n"/>
      <c r="P107" s="30" t="n"/>
      <c r="Q107" s="30" t="n"/>
      <c r="R107" s="30" t="n"/>
      <c r="S107" s="30" t="n"/>
      <c r="T107" s="30" t="n"/>
      <c r="U107" s="30" t="n"/>
      <c r="V107" s="30" t="n"/>
      <c r="W107" s="30" t="n"/>
      <c r="X107" s="30" t="n"/>
      <c r="Y107" s="30" t="n"/>
      <c r="Z107" s="30" t="n"/>
    </row>
    <row r="108" ht="15.75" customHeight="1" s="134">
      <c r="A108" s="66" t="n"/>
      <c r="B108" s="66" t="n"/>
      <c r="C108" s="66" t="n"/>
      <c r="D108" s="66" t="n"/>
      <c r="E108" s="66" t="n"/>
      <c r="F108" s="66" t="n"/>
      <c r="G108" s="66" t="n"/>
      <c r="H108" s="30" t="n"/>
      <c r="I108" s="30" t="n"/>
      <c r="J108" s="30" t="n"/>
      <c r="K108" s="30" t="n"/>
      <c r="L108" s="30" t="n"/>
      <c r="M108" s="30" t="n"/>
      <c r="N108" s="30" t="n"/>
      <c r="O108" s="30" t="n"/>
      <c r="P108" s="30" t="n"/>
      <c r="Q108" s="30" t="n"/>
      <c r="R108" s="30" t="n"/>
      <c r="S108" s="30" t="n"/>
      <c r="T108" s="30" t="n"/>
      <c r="U108" s="30" t="n"/>
      <c r="V108" s="30" t="n"/>
      <c r="W108" s="30" t="n"/>
      <c r="X108" s="30" t="n"/>
      <c r="Y108" s="30" t="n"/>
      <c r="Z108" s="30" t="n"/>
    </row>
    <row r="109" ht="15.75" customHeight="1" s="134">
      <c r="A109" s="66" t="n"/>
      <c r="B109" s="66" t="n"/>
      <c r="C109" s="66" t="n"/>
      <c r="D109" s="66" t="n"/>
      <c r="E109" s="66" t="n"/>
      <c r="F109" s="66" t="n"/>
      <c r="G109" s="66" t="n"/>
      <c r="H109" s="30" t="n"/>
      <c r="I109" s="30" t="n"/>
      <c r="J109" s="30" t="n"/>
      <c r="K109" s="30" t="n"/>
      <c r="L109" s="30" t="n"/>
      <c r="M109" s="30" t="n"/>
      <c r="N109" s="30" t="n"/>
      <c r="O109" s="30" t="n"/>
      <c r="P109" s="30" t="n"/>
      <c r="Q109" s="30" t="n"/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</row>
    <row r="110" ht="15.75" customHeight="1" s="134">
      <c r="A110" s="66" t="n"/>
      <c r="B110" s="66" t="n"/>
      <c r="C110" s="66" t="n"/>
      <c r="D110" s="66" t="n"/>
      <c r="E110" s="66" t="n"/>
      <c r="F110" s="66" t="n"/>
      <c r="G110" s="66" t="n"/>
      <c r="H110" s="30" t="n"/>
      <c r="I110" s="30" t="n"/>
      <c r="J110" s="30" t="n"/>
      <c r="K110" s="30" t="n"/>
      <c r="L110" s="30" t="n"/>
      <c r="M110" s="30" t="n"/>
      <c r="N110" s="30" t="n"/>
      <c r="O110" s="30" t="n"/>
      <c r="P110" s="30" t="n"/>
      <c r="Q110" s="30" t="n"/>
      <c r="R110" s="30" t="n"/>
      <c r="S110" s="30" t="n"/>
      <c r="T110" s="30" t="n"/>
      <c r="U110" s="30" t="n"/>
      <c r="V110" s="30" t="n"/>
      <c r="W110" s="30" t="n"/>
      <c r="X110" s="30" t="n"/>
      <c r="Y110" s="30" t="n"/>
      <c r="Z110" s="30" t="n"/>
    </row>
    <row r="111" ht="15.75" customHeight="1" s="134">
      <c r="A111" s="66" t="n"/>
      <c r="B111" s="66" t="n"/>
      <c r="C111" s="66" t="n"/>
      <c r="D111" s="66" t="n"/>
      <c r="E111" s="66" t="n"/>
      <c r="F111" s="66" t="n"/>
      <c r="G111" s="66" t="n"/>
      <c r="H111" s="30" t="n"/>
      <c r="I111" s="30" t="n"/>
      <c r="J111" s="30" t="n"/>
      <c r="K111" s="30" t="n"/>
      <c r="L111" s="30" t="n"/>
      <c r="M111" s="30" t="n"/>
      <c r="N111" s="30" t="n"/>
      <c r="O111" s="30" t="n"/>
      <c r="P111" s="30" t="n"/>
      <c r="Q111" s="30" t="n"/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</row>
    <row r="112" ht="15.75" customHeight="1" s="134">
      <c r="A112" s="66" t="n"/>
      <c r="B112" s="66" t="n"/>
      <c r="C112" s="66" t="n"/>
      <c r="D112" s="66" t="n"/>
      <c r="E112" s="66" t="n"/>
      <c r="F112" s="66" t="n"/>
      <c r="G112" s="66" t="n"/>
      <c r="H112" s="30" t="n"/>
      <c r="I112" s="30" t="n"/>
      <c r="J112" s="30" t="n"/>
      <c r="K112" s="30" t="n"/>
      <c r="L112" s="30" t="n"/>
      <c r="M112" s="30" t="n"/>
      <c r="N112" s="30" t="n"/>
      <c r="O112" s="30" t="n"/>
      <c r="P112" s="30" t="n"/>
      <c r="Q112" s="30" t="n"/>
      <c r="R112" s="30" t="n"/>
      <c r="S112" s="30" t="n"/>
      <c r="T112" s="30" t="n"/>
      <c r="U112" s="30" t="n"/>
      <c r="V112" s="30" t="n"/>
      <c r="W112" s="30" t="n"/>
      <c r="X112" s="30" t="n"/>
      <c r="Y112" s="30" t="n"/>
      <c r="Z112" s="30" t="n"/>
    </row>
    <row r="113" ht="15.75" customHeight="1" s="134">
      <c r="A113" s="66" t="n"/>
      <c r="B113" s="66" t="n"/>
      <c r="C113" s="66" t="n"/>
      <c r="D113" s="66" t="n"/>
      <c r="E113" s="66" t="n"/>
      <c r="F113" s="66" t="n"/>
      <c r="G113" s="66" t="n"/>
      <c r="H113" s="30" t="n"/>
      <c r="I113" s="30" t="n"/>
      <c r="J113" s="30" t="n"/>
      <c r="K113" s="30" t="n"/>
      <c r="L113" s="30" t="n"/>
      <c r="M113" s="30" t="n"/>
      <c r="N113" s="30" t="n"/>
      <c r="O113" s="30" t="n"/>
      <c r="P113" s="30" t="n"/>
      <c r="Q113" s="30" t="n"/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</row>
    <row r="114" ht="15.75" customHeight="1" s="134">
      <c r="A114" s="66" t="n"/>
      <c r="B114" s="66" t="n"/>
      <c r="C114" s="66" t="n"/>
      <c r="D114" s="66" t="n"/>
      <c r="E114" s="66" t="n"/>
      <c r="F114" s="66" t="n"/>
      <c r="G114" s="66" t="n"/>
      <c r="H114" s="30" t="n"/>
      <c r="I114" s="30" t="n"/>
      <c r="J114" s="30" t="n"/>
      <c r="K114" s="30" t="n"/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30" t="n"/>
      <c r="W114" s="30" t="n"/>
      <c r="X114" s="30" t="n"/>
      <c r="Y114" s="30" t="n"/>
      <c r="Z114" s="30" t="n"/>
    </row>
    <row r="115" ht="15.75" customHeight="1" s="134">
      <c r="A115" s="66" t="n"/>
      <c r="B115" s="66" t="n"/>
      <c r="C115" s="66" t="n"/>
      <c r="D115" s="66" t="n"/>
      <c r="E115" s="66" t="n"/>
      <c r="F115" s="66" t="n"/>
      <c r="G115" s="66" t="n"/>
      <c r="H115" s="30" t="n"/>
      <c r="I115" s="30" t="n"/>
      <c r="J115" s="30" t="n"/>
      <c r="K115" s="30" t="n"/>
      <c r="L115" s="30" t="n"/>
      <c r="M115" s="30" t="n"/>
      <c r="N115" s="30" t="n"/>
      <c r="O115" s="30" t="n"/>
      <c r="P115" s="30" t="n"/>
      <c r="Q115" s="30" t="n"/>
      <c r="R115" s="30" t="n"/>
      <c r="S115" s="30" t="n"/>
      <c r="T115" s="30" t="n"/>
      <c r="U115" s="30" t="n"/>
      <c r="V115" s="30" t="n"/>
      <c r="W115" s="30" t="n"/>
      <c r="X115" s="30" t="n"/>
      <c r="Y115" s="30" t="n"/>
      <c r="Z115" s="30" t="n"/>
    </row>
    <row r="116" ht="15.75" customHeight="1" s="134">
      <c r="A116" s="66" t="n"/>
      <c r="B116" s="66" t="n"/>
      <c r="C116" s="66" t="n"/>
      <c r="D116" s="66" t="n"/>
      <c r="E116" s="66" t="n"/>
      <c r="F116" s="66" t="n"/>
      <c r="G116" s="66" t="n"/>
      <c r="H116" s="30" t="n"/>
      <c r="I116" s="30" t="n"/>
      <c r="J116" s="30" t="n"/>
      <c r="K116" s="30" t="n"/>
      <c r="L116" s="30" t="n"/>
      <c r="M116" s="30" t="n"/>
      <c r="N116" s="30" t="n"/>
      <c r="O116" s="30" t="n"/>
      <c r="P116" s="30" t="n"/>
      <c r="Q116" s="30" t="n"/>
      <c r="R116" s="30" t="n"/>
      <c r="S116" s="30" t="n"/>
      <c r="T116" s="30" t="n"/>
      <c r="U116" s="30" t="n"/>
      <c r="V116" s="30" t="n"/>
      <c r="W116" s="30" t="n"/>
      <c r="X116" s="30" t="n"/>
      <c r="Y116" s="30" t="n"/>
      <c r="Z116" s="30" t="n"/>
    </row>
    <row r="117" ht="15.75" customHeight="1" s="134">
      <c r="A117" s="66" t="n"/>
      <c r="B117" s="66" t="n"/>
      <c r="C117" s="66" t="n"/>
      <c r="D117" s="66" t="n"/>
      <c r="E117" s="66" t="n"/>
      <c r="F117" s="66" t="n"/>
      <c r="G117" s="66" t="n"/>
      <c r="H117" s="30" t="n"/>
      <c r="I117" s="30" t="n"/>
      <c r="J117" s="30" t="n"/>
      <c r="K117" s="30" t="n"/>
      <c r="L117" s="30" t="n"/>
      <c r="M117" s="30" t="n"/>
      <c r="N117" s="30" t="n"/>
      <c r="O117" s="30" t="n"/>
      <c r="P117" s="30" t="n"/>
      <c r="Q117" s="30" t="n"/>
      <c r="R117" s="30" t="n"/>
      <c r="S117" s="30" t="n"/>
      <c r="T117" s="30" t="n"/>
      <c r="U117" s="30" t="n"/>
      <c r="V117" s="30" t="n"/>
      <c r="W117" s="30" t="n"/>
      <c r="X117" s="30" t="n"/>
      <c r="Y117" s="30" t="n"/>
      <c r="Z117" s="30" t="n"/>
    </row>
    <row r="118" ht="15.75" customHeight="1" s="134">
      <c r="A118" s="66" t="n"/>
      <c r="B118" s="66" t="n"/>
      <c r="C118" s="66" t="n"/>
      <c r="D118" s="66" t="n"/>
      <c r="E118" s="66" t="n"/>
      <c r="F118" s="66" t="n"/>
      <c r="G118" s="66" t="n"/>
      <c r="H118" s="30" t="n"/>
      <c r="I118" s="30" t="n"/>
      <c r="J118" s="30" t="n"/>
      <c r="K118" s="30" t="n"/>
      <c r="L118" s="30" t="n"/>
      <c r="M118" s="30" t="n"/>
      <c r="N118" s="30" t="n"/>
      <c r="O118" s="30" t="n"/>
      <c r="P118" s="30" t="n"/>
      <c r="Q118" s="30" t="n"/>
      <c r="R118" s="30" t="n"/>
      <c r="S118" s="30" t="n"/>
      <c r="T118" s="30" t="n"/>
      <c r="U118" s="30" t="n"/>
      <c r="V118" s="30" t="n"/>
      <c r="W118" s="30" t="n"/>
      <c r="X118" s="30" t="n"/>
      <c r="Y118" s="30" t="n"/>
      <c r="Z118" s="30" t="n"/>
    </row>
    <row r="119" ht="15.75" customHeight="1" s="134">
      <c r="A119" s="66" t="n"/>
      <c r="B119" s="66" t="n"/>
      <c r="C119" s="66" t="n"/>
      <c r="D119" s="66" t="n"/>
      <c r="E119" s="66" t="n"/>
      <c r="F119" s="66" t="n"/>
      <c r="G119" s="66" t="n"/>
      <c r="H119" s="30" t="n"/>
      <c r="I119" s="30" t="n"/>
      <c r="J119" s="30" t="n"/>
      <c r="K119" s="30" t="n"/>
      <c r="L119" s="30" t="n"/>
      <c r="M119" s="30" t="n"/>
      <c r="N119" s="30" t="n"/>
      <c r="O119" s="30" t="n"/>
      <c r="P119" s="30" t="n"/>
      <c r="Q119" s="30" t="n"/>
      <c r="R119" s="30" t="n"/>
      <c r="S119" s="30" t="n"/>
      <c r="T119" s="30" t="n"/>
      <c r="U119" s="30" t="n"/>
      <c r="V119" s="30" t="n"/>
      <c r="W119" s="30" t="n"/>
      <c r="X119" s="30" t="n"/>
      <c r="Y119" s="30" t="n"/>
      <c r="Z119" s="30" t="n"/>
    </row>
    <row r="120" ht="15.75" customHeight="1" s="134">
      <c r="A120" s="66" t="n"/>
      <c r="B120" s="66" t="n"/>
      <c r="C120" s="66" t="n"/>
      <c r="D120" s="66" t="n"/>
      <c r="E120" s="66" t="n"/>
      <c r="F120" s="66" t="n"/>
      <c r="G120" s="66" t="n"/>
      <c r="H120" s="30" t="n"/>
      <c r="I120" s="30" t="n"/>
      <c r="J120" s="30" t="n"/>
      <c r="K120" s="30" t="n"/>
      <c r="L120" s="30" t="n"/>
      <c r="M120" s="30" t="n"/>
      <c r="N120" s="30" t="n"/>
      <c r="O120" s="30" t="n"/>
      <c r="P120" s="30" t="n"/>
      <c r="Q120" s="30" t="n"/>
      <c r="R120" s="30" t="n"/>
      <c r="S120" s="30" t="n"/>
      <c r="T120" s="30" t="n"/>
      <c r="U120" s="30" t="n"/>
      <c r="V120" s="30" t="n"/>
      <c r="W120" s="30" t="n"/>
      <c r="X120" s="30" t="n"/>
      <c r="Y120" s="30" t="n"/>
      <c r="Z120" s="30" t="n"/>
    </row>
    <row r="121" ht="15.75" customHeight="1" s="134">
      <c r="A121" s="66" t="n"/>
      <c r="B121" s="66" t="n"/>
      <c r="C121" s="66" t="n"/>
      <c r="D121" s="66" t="n"/>
      <c r="E121" s="66" t="n"/>
      <c r="F121" s="66" t="n"/>
      <c r="G121" s="66" t="n"/>
      <c r="H121" s="30" t="n"/>
      <c r="I121" s="30" t="n"/>
      <c r="J121" s="30" t="n"/>
      <c r="K121" s="30" t="n"/>
      <c r="L121" s="30" t="n"/>
      <c r="M121" s="30" t="n"/>
      <c r="N121" s="30" t="n"/>
      <c r="O121" s="30" t="n"/>
      <c r="P121" s="30" t="n"/>
      <c r="Q121" s="30" t="n"/>
      <c r="R121" s="30" t="n"/>
      <c r="S121" s="30" t="n"/>
      <c r="T121" s="30" t="n"/>
      <c r="U121" s="30" t="n"/>
      <c r="V121" s="30" t="n"/>
      <c r="W121" s="30" t="n"/>
      <c r="X121" s="30" t="n"/>
      <c r="Y121" s="30" t="n"/>
      <c r="Z121" s="30" t="n"/>
    </row>
    <row r="122" ht="15.75" customHeight="1" s="134">
      <c r="A122" s="66" t="n"/>
      <c r="B122" s="66" t="n"/>
      <c r="C122" s="66" t="n"/>
      <c r="D122" s="66" t="n"/>
      <c r="E122" s="66" t="n"/>
      <c r="F122" s="66" t="n"/>
      <c r="G122" s="66" t="n"/>
      <c r="H122" s="30" t="n"/>
      <c r="I122" s="30" t="n"/>
      <c r="J122" s="30" t="n"/>
      <c r="K122" s="30" t="n"/>
      <c r="L122" s="30" t="n"/>
      <c r="M122" s="30" t="n"/>
      <c r="N122" s="30" t="n"/>
      <c r="O122" s="30" t="n"/>
      <c r="P122" s="30" t="n"/>
      <c r="Q122" s="30" t="n"/>
      <c r="R122" s="30" t="n"/>
      <c r="S122" s="30" t="n"/>
      <c r="T122" s="30" t="n"/>
      <c r="U122" s="30" t="n"/>
      <c r="V122" s="30" t="n"/>
      <c r="W122" s="30" t="n"/>
      <c r="X122" s="30" t="n"/>
      <c r="Y122" s="30" t="n"/>
      <c r="Z122" s="30" t="n"/>
    </row>
    <row r="123" ht="15.75" customHeight="1" s="134">
      <c r="A123" s="66" t="n"/>
      <c r="B123" s="66" t="n"/>
      <c r="C123" s="66" t="n"/>
      <c r="D123" s="66" t="n"/>
      <c r="E123" s="66" t="n"/>
      <c r="F123" s="66" t="n"/>
      <c r="G123" s="66" t="n"/>
      <c r="H123" s="30" t="n"/>
      <c r="I123" s="30" t="n"/>
      <c r="J123" s="30" t="n"/>
      <c r="K123" s="30" t="n"/>
      <c r="L123" s="30" t="n"/>
      <c r="M123" s="30" t="n"/>
      <c r="N123" s="30" t="n"/>
      <c r="O123" s="30" t="n"/>
      <c r="P123" s="30" t="n"/>
      <c r="Q123" s="30" t="n"/>
      <c r="R123" s="30" t="n"/>
      <c r="S123" s="30" t="n"/>
      <c r="T123" s="30" t="n"/>
      <c r="U123" s="30" t="n"/>
      <c r="V123" s="30" t="n"/>
      <c r="W123" s="30" t="n"/>
      <c r="X123" s="30" t="n"/>
      <c r="Y123" s="30" t="n"/>
      <c r="Z123" s="30" t="n"/>
    </row>
    <row r="124" ht="15.75" customHeight="1" s="134">
      <c r="A124" s="66" t="n"/>
      <c r="B124" s="66" t="n"/>
      <c r="C124" s="66" t="n"/>
      <c r="D124" s="66" t="n"/>
      <c r="E124" s="66" t="n"/>
      <c r="F124" s="66" t="n"/>
      <c r="G124" s="66" t="n"/>
      <c r="H124" s="30" t="n"/>
      <c r="I124" s="30" t="n"/>
      <c r="J124" s="30" t="n"/>
      <c r="K124" s="30" t="n"/>
      <c r="L124" s="30" t="n"/>
      <c r="M124" s="30" t="n"/>
      <c r="N124" s="30" t="n"/>
      <c r="O124" s="30" t="n"/>
      <c r="P124" s="30" t="n"/>
      <c r="Q124" s="30" t="n"/>
      <c r="R124" s="30" t="n"/>
      <c r="S124" s="30" t="n"/>
      <c r="T124" s="30" t="n"/>
      <c r="U124" s="30" t="n"/>
      <c r="V124" s="30" t="n"/>
      <c r="W124" s="30" t="n"/>
      <c r="X124" s="30" t="n"/>
      <c r="Y124" s="30" t="n"/>
      <c r="Z124" s="30" t="n"/>
    </row>
    <row r="125" ht="15.75" customHeight="1" s="134">
      <c r="A125" s="66" t="n"/>
      <c r="B125" s="66" t="n"/>
      <c r="C125" s="66" t="n"/>
      <c r="D125" s="66" t="n"/>
      <c r="E125" s="66" t="n"/>
      <c r="F125" s="66" t="n"/>
      <c r="G125" s="66" t="n"/>
      <c r="H125" s="30" t="n"/>
      <c r="I125" s="30" t="n"/>
      <c r="J125" s="30" t="n"/>
      <c r="K125" s="30" t="n"/>
      <c r="L125" s="30" t="n"/>
      <c r="M125" s="30" t="n"/>
      <c r="N125" s="30" t="n"/>
      <c r="O125" s="30" t="n"/>
      <c r="P125" s="30" t="n"/>
      <c r="Q125" s="30" t="n"/>
      <c r="R125" s="30" t="n"/>
      <c r="S125" s="30" t="n"/>
      <c r="T125" s="30" t="n"/>
      <c r="U125" s="30" t="n"/>
      <c r="V125" s="30" t="n"/>
      <c r="W125" s="30" t="n"/>
      <c r="X125" s="30" t="n"/>
      <c r="Y125" s="30" t="n"/>
      <c r="Z125" s="30" t="n"/>
    </row>
    <row r="126" ht="15.75" customHeight="1" s="134">
      <c r="A126" s="66" t="n"/>
      <c r="B126" s="66" t="n"/>
      <c r="C126" s="66" t="n"/>
      <c r="D126" s="66" t="n"/>
      <c r="E126" s="66" t="n"/>
      <c r="F126" s="66" t="n"/>
      <c r="G126" s="66" t="n"/>
      <c r="H126" s="30" t="n"/>
      <c r="I126" s="30" t="n"/>
      <c r="J126" s="30" t="n"/>
      <c r="K126" s="30" t="n"/>
      <c r="L126" s="30" t="n"/>
      <c r="M126" s="30" t="n"/>
      <c r="N126" s="30" t="n"/>
      <c r="O126" s="30" t="n"/>
      <c r="P126" s="30" t="n"/>
      <c r="Q126" s="30" t="n"/>
      <c r="R126" s="30" t="n"/>
      <c r="S126" s="30" t="n"/>
      <c r="T126" s="30" t="n"/>
      <c r="U126" s="30" t="n"/>
      <c r="V126" s="30" t="n"/>
      <c r="W126" s="30" t="n"/>
      <c r="X126" s="30" t="n"/>
      <c r="Y126" s="30" t="n"/>
      <c r="Z126" s="30" t="n"/>
    </row>
    <row r="127" ht="15.75" customHeight="1" s="134">
      <c r="A127" s="66" t="n"/>
      <c r="B127" s="66" t="n"/>
      <c r="C127" s="66" t="n"/>
      <c r="D127" s="66" t="n"/>
      <c r="E127" s="66" t="n"/>
      <c r="F127" s="66" t="n"/>
      <c r="G127" s="66" t="n"/>
      <c r="H127" s="30" t="n"/>
      <c r="I127" s="30" t="n"/>
      <c r="J127" s="30" t="n"/>
      <c r="K127" s="30" t="n"/>
      <c r="L127" s="30" t="n"/>
      <c r="M127" s="30" t="n"/>
      <c r="N127" s="30" t="n"/>
      <c r="O127" s="30" t="n"/>
      <c r="P127" s="30" t="n"/>
      <c r="Q127" s="30" t="n"/>
      <c r="R127" s="30" t="n"/>
      <c r="S127" s="30" t="n"/>
      <c r="T127" s="30" t="n"/>
      <c r="U127" s="30" t="n"/>
      <c r="V127" s="30" t="n"/>
      <c r="W127" s="30" t="n"/>
      <c r="X127" s="30" t="n"/>
      <c r="Y127" s="30" t="n"/>
      <c r="Z127" s="30" t="n"/>
    </row>
    <row r="128" ht="15.75" customHeight="1" s="134">
      <c r="A128" s="66" t="n"/>
      <c r="B128" s="66" t="n"/>
      <c r="C128" s="66" t="n"/>
      <c r="D128" s="66" t="n"/>
      <c r="E128" s="66" t="n"/>
      <c r="F128" s="66" t="n"/>
      <c r="G128" s="66" t="n"/>
      <c r="H128" s="30" t="n"/>
      <c r="I128" s="30" t="n"/>
      <c r="J128" s="30" t="n"/>
      <c r="K128" s="30" t="n"/>
      <c r="L128" s="30" t="n"/>
      <c r="M128" s="30" t="n"/>
      <c r="N128" s="30" t="n"/>
      <c r="O128" s="30" t="n"/>
      <c r="P128" s="30" t="n"/>
      <c r="Q128" s="30" t="n"/>
      <c r="R128" s="30" t="n"/>
      <c r="S128" s="30" t="n"/>
      <c r="T128" s="30" t="n"/>
      <c r="U128" s="30" t="n"/>
      <c r="V128" s="30" t="n"/>
      <c r="W128" s="30" t="n"/>
      <c r="X128" s="30" t="n"/>
      <c r="Y128" s="30" t="n"/>
      <c r="Z128" s="30" t="n"/>
    </row>
    <row r="129" ht="15.75" customHeight="1" s="134">
      <c r="A129" s="66" t="n"/>
      <c r="B129" s="66" t="n"/>
      <c r="C129" s="66" t="n"/>
      <c r="D129" s="66" t="n"/>
      <c r="E129" s="66" t="n"/>
      <c r="F129" s="66" t="n"/>
      <c r="G129" s="66" t="n"/>
      <c r="H129" s="30" t="n"/>
      <c r="I129" s="30" t="n"/>
      <c r="J129" s="30" t="n"/>
      <c r="K129" s="30" t="n"/>
      <c r="L129" s="30" t="n"/>
      <c r="M129" s="30" t="n"/>
      <c r="N129" s="30" t="n"/>
      <c r="O129" s="30" t="n"/>
      <c r="P129" s="30" t="n"/>
      <c r="Q129" s="30" t="n"/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</row>
    <row r="130" ht="15.75" customHeight="1" s="134">
      <c r="A130" s="66" t="n"/>
      <c r="B130" s="66" t="n"/>
      <c r="C130" s="66" t="n"/>
      <c r="D130" s="66" t="n"/>
      <c r="E130" s="66" t="n"/>
      <c r="F130" s="66" t="n"/>
      <c r="G130" s="66" t="n"/>
      <c r="H130" s="30" t="n"/>
      <c r="I130" s="30" t="n"/>
      <c r="J130" s="30" t="n"/>
      <c r="K130" s="30" t="n"/>
      <c r="L130" s="30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0" t="n"/>
      <c r="V130" s="30" t="n"/>
      <c r="W130" s="30" t="n"/>
      <c r="X130" s="30" t="n"/>
      <c r="Y130" s="30" t="n"/>
      <c r="Z130" s="30" t="n"/>
    </row>
    <row r="131" ht="15.75" customHeight="1" s="134">
      <c r="A131" s="66" t="n"/>
      <c r="B131" s="66" t="n"/>
      <c r="C131" s="66" t="n"/>
      <c r="D131" s="66" t="n"/>
      <c r="E131" s="66" t="n"/>
      <c r="F131" s="66" t="n"/>
      <c r="G131" s="66" t="n"/>
      <c r="H131" s="30" t="n"/>
      <c r="I131" s="30" t="n"/>
      <c r="J131" s="30" t="n"/>
      <c r="K131" s="30" t="n"/>
      <c r="L131" s="30" t="n"/>
      <c r="M131" s="30" t="n"/>
      <c r="N131" s="30" t="n"/>
      <c r="O131" s="30" t="n"/>
      <c r="P131" s="30" t="n"/>
      <c r="Q131" s="30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</row>
    <row r="132" ht="15.75" customHeight="1" s="134">
      <c r="A132" s="66" t="n"/>
      <c r="B132" s="66" t="n"/>
      <c r="C132" s="66" t="n"/>
      <c r="D132" s="66" t="n"/>
      <c r="E132" s="66" t="n"/>
      <c r="F132" s="66" t="n"/>
      <c r="G132" s="66" t="n"/>
      <c r="H132" s="30" t="n"/>
      <c r="I132" s="30" t="n"/>
      <c r="J132" s="30" t="n"/>
      <c r="K132" s="30" t="n"/>
      <c r="L132" s="30" t="n"/>
      <c r="M132" s="30" t="n"/>
      <c r="N132" s="30" t="n"/>
      <c r="O132" s="30" t="n"/>
      <c r="P132" s="30" t="n"/>
      <c r="Q132" s="30" t="n"/>
      <c r="R132" s="30" t="n"/>
      <c r="S132" s="30" t="n"/>
      <c r="T132" s="30" t="n"/>
      <c r="U132" s="30" t="n"/>
      <c r="V132" s="30" t="n"/>
      <c r="W132" s="30" t="n"/>
      <c r="X132" s="30" t="n"/>
      <c r="Y132" s="30" t="n"/>
      <c r="Z132" s="30" t="n"/>
    </row>
    <row r="133" ht="15.75" customHeight="1" s="134">
      <c r="A133" s="66" t="n"/>
      <c r="B133" s="66" t="n"/>
      <c r="C133" s="66" t="n"/>
      <c r="D133" s="66" t="n"/>
      <c r="E133" s="66" t="n"/>
      <c r="F133" s="66" t="n"/>
      <c r="G133" s="66" t="n"/>
      <c r="H133" s="30" t="n"/>
      <c r="I133" s="30" t="n"/>
      <c r="J133" s="30" t="n"/>
      <c r="K133" s="30" t="n"/>
      <c r="L133" s="30" t="n"/>
      <c r="M133" s="30" t="n"/>
      <c r="N133" s="30" t="n"/>
      <c r="O133" s="30" t="n"/>
      <c r="P133" s="30" t="n"/>
      <c r="Q133" s="30" t="n"/>
      <c r="R133" s="30" t="n"/>
      <c r="S133" s="30" t="n"/>
      <c r="T133" s="30" t="n"/>
      <c r="U133" s="30" t="n"/>
      <c r="V133" s="30" t="n"/>
      <c r="W133" s="30" t="n"/>
      <c r="X133" s="30" t="n"/>
      <c r="Y133" s="30" t="n"/>
      <c r="Z133" s="30" t="n"/>
    </row>
    <row r="134" ht="15.75" customHeight="1" s="134">
      <c r="A134" s="66" t="n"/>
      <c r="B134" s="66" t="n"/>
      <c r="C134" s="66" t="n"/>
      <c r="D134" s="66" t="n"/>
      <c r="E134" s="66" t="n"/>
      <c r="F134" s="66" t="n"/>
      <c r="G134" s="66" t="n"/>
      <c r="H134" s="30" t="n"/>
      <c r="I134" s="30" t="n"/>
      <c r="J134" s="30" t="n"/>
      <c r="K134" s="30" t="n"/>
      <c r="L134" s="30" t="n"/>
      <c r="M134" s="30" t="n"/>
      <c r="N134" s="30" t="n"/>
      <c r="O134" s="30" t="n"/>
      <c r="P134" s="30" t="n"/>
      <c r="Q134" s="30" t="n"/>
      <c r="R134" s="30" t="n"/>
      <c r="S134" s="30" t="n"/>
      <c r="T134" s="30" t="n"/>
      <c r="U134" s="30" t="n"/>
      <c r="V134" s="30" t="n"/>
      <c r="W134" s="30" t="n"/>
      <c r="X134" s="30" t="n"/>
      <c r="Y134" s="30" t="n"/>
      <c r="Z134" s="30" t="n"/>
    </row>
    <row r="135" ht="15.75" customHeight="1" s="134">
      <c r="A135" s="66" t="n"/>
      <c r="B135" s="66" t="n"/>
      <c r="C135" s="66" t="n"/>
      <c r="D135" s="66" t="n"/>
      <c r="E135" s="66" t="n"/>
      <c r="F135" s="66" t="n"/>
      <c r="G135" s="66" t="n"/>
      <c r="H135" s="30" t="n"/>
      <c r="I135" s="30" t="n"/>
      <c r="J135" s="30" t="n"/>
      <c r="K135" s="30" t="n"/>
      <c r="L135" s="30" t="n"/>
      <c r="M135" s="30" t="n"/>
      <c r="N135" s="30" t="n"/>
      <c r="O135" s="30" t="n"/>
      <c r="P135" s="30" t="n"/>
      <c r="Q135" s="30" t="n"/>
      <c r="R135" s="30" t="n"/>
      <c r="S135" s="30" t="n"/>
      <c r="T135" s="30" t="n"/>
      <c r="U135" s="30" t="n"/>
      <c r="V135" s="30" t="n"/>
      <c r="W135" s="30" t="n"/>
      <c r="X135" s="30" t="n"/>
      <c r="Y135" s="30" t="n"/>
      <c r="Z135" s="30" t="n"/>
    </row>
    <row r="136" ht="15.75" customHeight="1" s="134">
      <c r="A136" s="66" t="n"/>
      <c r="B136" s="66" t="n"/>
      <c r="C136" s="66" t="n"/>
      <c r="D136" s="66" t="n"/>
      <c r="E136" s="66" t="n"/>
      <c r="F136" s="66" t="n"/>
      <c r="G136" s="66" t="n"/>
      <c r="H136" s="30" t="n"/>
      <c r="I136" s="30" t="n"/>
      <c r="J136" s="30" t="n"/>
      <c r="K136" s="30" t="n"/>
      <c r="L136" s="30" t="n"/>
      <c r="M136" s="30" t="n"/>
      <c r="N136" s="30" t="n"/>
      <c r="O136" s="30" t="n"/>
      <c r="P136" s="30" t="n"/>
      <c r="Q136" s="30" t="n"/>
      <c r="R136" s="30" t="n"/>
      <c r="S136" s="30" t="n"/>
      <c r="T136" s="30" t="n"/>
      <c r="U136" s="30" t="n"/>
      <c r="V136" s="30" t="n"/>
      <c r="W136" s="30" t="n"/>
      <c r="X136" s="30" t="n"/>
      <c r="Y136" s="30" t="n"/>
      <c r="Z136" s="30" t="n"/>
    </row>
    <row r="137" ht="15.75" customHeight="1" s="134">
      <c r="A137" s="66" t="n"/>
      <c r="B137" s="66" t="n"/>
      <c r="C137" s="66" t="n"/>
      <c r="D137" s="66" t="n"/>
      <c r="E137" s="66" t="n"/>
      <c r="F137" s="66" t="n"/>
      <c r="G137" s="66" t="n"/>
      <c r="H137" s="30" t="n"/>
      <c r="I137" s="30" t="n"/>
      <c r="J137" s="30" t="n"/>
      <c r="K137" s="30" t="n"/>
      <c r="L137" s="30" t="n"/>
      <c r="M137" s="30" t="n"/>
      <c r="N137" s="30" t="n"/>
      <c r="O137" s="30" t="n"/>
      <c r="P137" s="30" t="n"/>
      <c r="Q137" s="30" t="n"/>
      <c r="R137" s="30" t="n"/>
      <c r="S137" s="30" t="n"/>
      <c r="T137" s="30" t="n"/>
      <c r="U137" s="30" t="n"/>
      <c r="V137" s="30" t="n"/>
      <c r="W137" s="30" t="n"/>
      <c r="X137" s="30" t="n"/>
      <c r="Y137" s="30" t="n"/>
      <c r="Z137" s="30" t="n"/>
    </row>
    <row r="138" ht="15.75" customHeight="1" s="134">
      <c r="A138" s="66" t="n"/>
      <c r="B138" s="66" t="n"/>
      <c r="C138" s="66" t="n"/>
      <c r="D138" s="66" t="n"/>
      <c r="E138" s="66" t="n"/>
      <c r="F138" s="66" t="n"/>
      <c r="G138" s="66" t="n"/>
      <c r="H138" s="30" t="n"/>
      <c r="I138" s="30" t="n"/>
      <c r="J138" s="30" t="n"/>
      <c r="K138" s="30" t="n"/>
      <c r="L138" s="30" t="n"/>
      <c r="M138" s="30" t="n"/>
      <c r="N138" s="30" t="n"/>
      <c r="O138" s="30" t="n"/>
      <c r="P138" s="30" t="n"/>
      <c r="Q138" s="30" t="n"/>
      <c r="R138" s="30" t="n"/>
      <c r="S138" s="30" t="n"/>
      <c r="T138" s="30" t="n"/>
      <c r="U138" s="30" t="n"/>
      <c r="V138" s="30" t="n"/>
      <c r="W138" s="30" t="n"/>
      <c r="X138" s="30" t="n"/>
      <c r="Y138" s="30" t="n"/>
      <c r="Z138" s="30" t="n"/>
    </row>
    <row r="139" ht="15.75" customHeight="1" s="134">
      <c r="A139" s="66" t="n"/>
      <c r="B139" s="66" t="n"/>
      <c r="C139" s="66" t="n"/>
      <c r="D139" s="66" t="n"/>
      <c r="E139" s="66" t="n"/>
      <c r="F139" s="66" t="n"/>
      <c r="G139" s="66" t="n"/>
      <c r="H139" s="30" t="n"/>
      <c r="I139" s="30" t="n"/>
      <c r="J139" s="30" t="n"/>
      <c r="K139" s="30" t="n"/>
      <c r="L139" s="30" t="n"/>
      <c r="M139" s="30" t="n"/>
      <c r="N139" s="30" t="n"/>
      <c r="O139" s="30" t="n"/>
      <c r="P139" s="30" t="n"/>
      <c r="Q139" s="30" t="n"/>
      <c r="R139" s="30" t="n"/>
      <c r="S139" s="30" t="n"/>
      <c r="T139" s="30" t="n"/>
      <c r="U139" s="30" t="n"/>
      <c r="V139" s="30" t="n"/>
      <c r="W139" s="30" t="n"/>
      <c r="X139" s="30" t="n"/>
      <c r="Y139" s="30" t="n"/>
      <c r="Z139" s="30" t="n"/>
    </row>
    <row r="140" ht="15.75" customHeight="1" s="134">
      <c r="A140" s="66" t="n"/>
      <c r="B140" s="66" t="n"/>
      <c r="C140" s="66" t="n"/>
      <c r="D140" s="66" t="n"/>
      <c r="E140" s="66" t="n"/>
      <c r="F140" s="66" t="n"/>
      <c r="G140" s="66" t="n"/>
      <c r="H140" s="30" t="n"/>
      <c r="I140" s="30" t="n"/>
      <c r="J140" s="30" t="n"/>
      <c r="K140" s="30" t="n"/>
      <c r="L140" s="30" t="n"/>
      <c r="M140" s="30" t="n"/>
      <c r="N140" s="30" t="n"/>
      <c r="O140" s="30" t="n"/>
      <c r="P140" s="30" t="n"/>
      <c r="Q140" s="30" t="n"/>
      <c r="R140" s="30" t="n"/>
      <c r="S140" s="30" t="n"/>
      <c r="T140" s="30" t="n"/>
      <c r="U140" s="30" t="n"/>
      <c r="V140" s="30" t="n"/>
      <c r="W140" s="30" t="n"/>
      <c r="X140" s="30" t="n"/>
      <c r="Y140" s="30" t="n"/>
      <c r="Z140" s="30" t="n"/>
    </row>
    <row r="141" ht="15.75" customHeight="1" s="134">
      <c r="A141" s="66" t="n"/>
      <c r="B141" s="66" t="n"/>
      <c r="C141" s="66" t="n"/>
      <c r="D141" s="66" t="n"/>
      <c r="E141" s="66" t="n"/>
      <c r="F141" s="66" t="n"/>
      <c r="G141" s="66" t="n"/>
      <c r="H141" s="30" t="n"/>
      <c r="I141" s="30" t="n"/>
      <c r="J141" s="30" t="n"/>
      <c r="K141" s="30" t="n"/>
      <c r="L141" s="30" t="n"/>
      <c r="M141" s="30" t="n"/>
      <c r="N141" s="30" t="n"/>
      <c r="O141" s="30" t="n"/>
      <c r="P141" s="30" t="n"/>
      <c r="Q141" s="30" t="n"/>
      <c r="R141" s="30" t="n"/>
      <c r="S141" s="30" t="n"/>
      <c r="T141" s="30" t="n"/>
      <c r="U141" s="30" t="n"/>
      <c r="V141" s="30" t="n"/>
      <c r="W141" s="30" t="n"/>
      <c r="X141" s="30" t="n"/>
      <c r="Y141" s="30" t="n"/>
      <c r="Z141" s="30" t="n"/>
    </row>
    <row r="142" ht="15.75" customHeight="1" s="134">
      <c r="A142" s="66" t="n"/>
      <c r="B142" s="66" t="n"/>
      <c r="C142" s="66" t="n"/>
      <c r="D142" s="66" t="n"/>
      <c r="E142" s="66" t="n"/>
      <c r="F142" s="66" t="n"/>
      <c r="G142" s="66" t="n"/>
      <c r="H142" s="30" t="n"/>
      <c r="I142" s="30" t="n"/>
      <c r="J142" s="30" t="n"/>
      <c r="K142" s="30" t="n"/>
      <c r="L142" s="30" t="n"/>
      <c r="M142" s="30" t="n"/>
      <c r="N142" s="30" t="n"/>
      <c r="O142" s="30" t="n"/>
      <c r="P142" s="30" t="n"/>
      <c r="Q142" s="30" t="n"/>
      <c r="R142" s="30" t="n"/>
      <c r="S142" s="30" t="n"/>
      <c r="T142" s="30" t="n"/>
      <c r="U142" s="30" t="n"/>
      <c r="V142" s="30" t="n"/>
      <c r="W142" s="30" t="n"/>
      <c r="X142" s="30" t="n"/>
      <c r="Y142" s="30" t="n"/>
      <c r="Z142" s="30" t="n"/>
    </row>
    <row r="143" ht="15.75" customHeight="1" s="134">
      <c r="A143" s="66" t="n"/>
      <c r="B143" s="66" t="n"/>
      <c r="C143" s="66" t="n"/>
      <c r="D143" s="66" t="n"/>
      <c r="E143" s="66" t="n"/>
      <c r="F143" s="66" t="n"/>
      <c r="G143" s="66" t="n"/>
      <c r="H143" s="30" t="n"/>
      <c r="I143" s="30" t="n"/>
      <c r="J143" s="30" t="n"/>
      <c r="K143" s="30" t="n"/>
      <c r="L143" s="30" t="n"/>
      <c r="M143" s="30" t="n"/>
      <c r="N143" s="30" t="n"/>
      <c r="O143" s="30" t="n"/>
      <c r="P143" s="30" t="n"/>
      <c r="Q143" s="30" t="n"/>
      <c r="R143" s="30" t="n"/>
      <c r="S143" s="30" t="n"/>
      <c r="T143" s="30" t="n"/>
      <c r="U143" s="30" t="n"/>
      <c r="V143" s="30" t="n"/>
      <c r="W143" s="30" t="n"/>
      <c r="X143" s="30" t="n"/>
      <c r="Y143" s="30" t="n"/>
      <c r="Z143" s="30" t="n"/>
    </row>
    <row r="144" ht="15.75" customHeight="1" s="134">
      <c r="A144" s="66" t="n"/>
      <c r="B144" s="66" t="n"/>
      <c r="C144" s="66" t="n"/>
      <c r="D144" s="66" t="n"/>
      <c r="E144" s="66" t="n"/>
      <c r="F144" s="66" t="n"/>
      <c r="G144" s="66" t="n"/>
      <c r="H144" s="30" t="n"/>
      <c r="I144" s="30" t="n"/>
      <c r="J144" s="30" t="n"/>
      <c r="K144" s="30" t="n"/>
      <c r="L144" s="30" t="n"/>
      <c r="M144" s="30" t="n"/>
      <c r="N144" s="30" t="n"/>
      <c r="O144" s="30" t="n"/>
      <c r="P144" s="30" t="n"/>
      <c r="Q144" s="30" t="n"/>
      <c r="R144" s="30" t="n"/>
      <c r="S144" s="30" t="n"/>
      <c r="T144" s="30" t="n"/>
      <c r="U144" s="30" t="n"/>
      <c r="V144" s="30" t="n"/>
      <c r="W144" s="30" t="n"/>
      <c r="X144" s="30" t="n"/>
      <c r="Y144" s="30" t="n"/>
      <c r="Z144" s="30" t="n"/>
    </row>
    <row r="145" ht="15.75" customHeight="1" s="134">
      <c r="A145" s="66" t="n"/>
      <c r="B145" s="66" t="n"/>
      <c r="C145" s="66" t="n"/>
      <c r="D145" s="66" t="n"/>
      <c r="E145" s="66" t="n"/>
      <c r="F145" s="66" t="n"/>
      <c r="G145" s="66" t="n"/>
      <c r="H145" s="30" t="n"/>
      <c r="I145" s="30" t="n"/>
      <c r="J145" s="30" t="n"/>
      <c r="K145" s="30" t="n"/>
      <c r="L145" s="30" t="n"/>
      <c r="M145" s="30" t="n"/>
      <c r="N145" s="30" t="n"/>
      <c r="O145" s="30" t="n"/>
      <c r="P145" s="30" t="n"/>
      <c r="Q145" s="30" t="n"/>
      <c r="R145" s="30" t="n"/>
      <c r="S145" s="30" t="n"/>
      <c r="T145" s="30" t="n"/>
      <c r="U145" s="30" t="n"/>
      <c r="V145" s="30" t="n"/>
      <c r="W145" s="30" t="n"/>
      <c r="X145" s="30" t="n"/>
      <c r="Y145" s="30" t="n"/>
      <c r="Z145" s="30" t="n"/>
    </row>
    <row r="146" ht="15.75" customHeight="1" s="134">
      <c r="A146" s="66" t="n"/>
      <c r="B146" s="66" t="n"/>
      <c r="C146" s="66" t="n"/>
      <c r="D146" s="66" t="n"/>
      <c r="E146" s="66" t="n"/>
      <c r="F146" s="66" t="n"/>
      <c r="G146" s="66" t="n"/>
      <c r="H146" s="30" t="n"/>
      <c r="I146" s="30" t="n"/>
      <c r="J146" s="30" t="n"/>
      <c r="K146" s="30" t="n"/>
      <c r="L146" s="30" t="n"/>
      <c r="M146" s="30" t="n"/>
      <c r="N146" s="30" t="n"/>
      <c r="O146" s="30" t="n"/>
      <c r="P146" s="30" t="n"/>
      <c r="Q146" s="30" t="n"/>
      <c r="R146" s="30" t="n"/>
      <c r="S146" s="30" t="n"/>
      <c r="T146" s="30" t="n"/>
      <c r="U146" s="30" t="n"/>
      <c r="V146" s="30" t="n"/>
      <c r="W146" s="30" t="n"/>
      <c r="X146" s="30" t="n"/>
      <c r="Y146" s="30" t="n"/>
      <c r="Z146" s="30" t="n"/>
    </row>
    <row r="147" ht="15.75" customHeight="1" s="134">
      <c r="A147" s="66" t="n"/>
      <c r="B147" s="66" t="n"/>
      <c r="C147" s="66" t="n"/>
      <c r="D147" s="66" t="n"/>
      <c r="E147" s="66" t="n"/>
      <c r="F147" s="66" t="n"/>
      <c r="G147" s="66" t="n"/>
      <c r="H147" s="30" t="n"/>
      <c r="I147" s="30" t="n"/>
      <c r="J147" s="30" t="n"/>
      <c r="K147" s="30" t="n"/>
      <c r="L147" s="30" t="n"/>
      <c r="M147" s="30" t="n"/>
      <c r="N147" s="30" t="n"/>
      <c r="O147" s="30" t="n"/>
      <c r="P147" s="30" t="n"/>
      <c r="Q147" s="30" t="n"/>
      <c r="R147" s="30" t="n"/>
      <c r="S147" s="30" t="n"/>
      <c r="T147" s="30" t="n"/>
      <c r="U147" s="30" t="n"/>
      <c r="V147" s="30" t="n"/>
      <c r="W147" s="30" t="n"/>
      <c r="X147" s="30" t="n"/>
      <c r="Y147" s="30" t="n"/>
      <c r="Z147" s="30" t="n"/>
    </row>
    <row r="148" ht="15.75" customHeight="1" s="134">
      <c r="A148" s="66" t="n"/>
      <c r="B148" s="66" t="n"/>
      <c r="C148" s="66" t="n"/>
      <c r="D148" s="66" t="n"/>
      <c r="E148" s="66" t="n"/>
      <c r="F148" s="66" t="n"/>
      <c r="G148" s="66" t="n"/>
      <c r="H148" s="30" t="n"/>
      <c r="I148" s="30" t="n"/>
      <c r="J148" s="30" t="n"/>
      <c r="K148" s="30" t="n"/>
      <c r="L148" s="30" t="n"/>
      <c r="M148" s="30" t="n"/>
      <c r="N148" s="30" t="n"/>
      <c r="O148" s="30" t="n"/>
      <c r="P148" s="30" t="n"/>
      <c r="Q148" s="30" t="n"/>
      <c r="R148" s="30" t="n"/>
      <c r="S148" s="30" t="n"/>
      <c r="T148" s="30" t="n"/>
      <c r="U148" s="30" t="n"/>
      <c r="V148" s="30" t="n"/>
      <c r="W148" s="30" t="n"/>
      <c r="X148" s="30" t="n"/>
      <c r="Y148" s="30" t="n"/>
      <c r="Z148" s="30" t="n"/>
    </row>
    <row r="149" ht="15.75" customHeight="1" s="134">
      <c r="A149" s="66" t="n"/>
      <c r="B149" s="66" t="n"/>
      <c r="C149" s="66" t="n"/>
      <c r="D149" s="66" t="n"/>
      <c r="E149" s="66" t="n"/>
      <c r="F149" s="66" t="n"/>
      <c r="G149" s="66" t="n"/>
      <c r="H149" s="30" t="n"/>
      <c r="I149" s="30" t="n"/>
      <c r="J149" s="30" t="n"/>
      <c r="K149" s="30" t="n"/>
      <c r="L149" s="30" t="n"/>
      <c r="M149" s="30" t="n"/>
      <c r="N149" s="30" t="n"/>
      <c r="O149" s="30" t="n"/>
      <c r="P149" s="30" t="n"/>
      <c r="Q149" s="30" t="n"/>
      <c r="R149" s="30" t="n"/>
      <c r="S149" s="30" t="n"/>
      <c r="T149" s="30" t="n"/>
      <c r="U149" s="30" t="n"/>
      <c r="V149" s="30" t="n"/>
      <c r="W149" s="30" t="n"/>
      <c r="X149" s="30" t="n"/>
      <c r="Y149" s="30" t="n"/>
      <c r="Z149" s="30" t="n"/>
    </row>
    <row r="150" ht="15.75" customHeight="1" s="134">
      <c r="A150" s="66" t="n"/>
      <c r="B150" s="66" t="n"/>
      <c r="C150" s="66" t="n"/>
      <c r="D150" s="66" t="n"/>
      <c r="E150" s="66" t="n"/>
      <c r="F150" s="66" t="n"/>
      <c r="G150" s="66" t="n"/>
      <c r="H150" s="30" t="n"/>
      <c r="I150" s="30" t="n"/>
      <c r="J150" s="30" t="n"/>
      <c r="K150" s="30" t="n"/>
      <c r="L150" s="30" t="n"/>
      <c r="M150" s="30" t="n"/>
      <c r="N150" s="30" t="n"/>
      <c r="O150" s="30" t="n"/>
      <c r="P150" s="30" t="n"/>
      <c r="Q150" s="30" t="n"/>
      <c r="R150" s="30" t="n"/>
      <c r="S150" s="30" t="n"/>
      <c r="T150" s="30" t="n"/>
      <c r="U150" s="30" t="n"/>
      <c r="V150" s="30" t="n"/>
      <c r="W150" s="30" t="n"/>
      <c r="X150" s="30" t="n"/>
      <c r="Y150" s="30" t="n"/>
      <c r="Z150" s="30" t="n"/>
    </row>
    <row r="151" ht="15.75" customHeight="1" s="134">
      <c r="A151" s="66" t="n"/>
      <c r="B151" s="66" t="n"/>
      <c r="C151" s="66" t="n"/>
      <c r="D151" s="66" t="n"/>
      <c r="E151" s="66" t="n"/>
      <c r="F151" s="66" t="n"/>
      <c r="G151" s="66" t="n"/>
      <c r="H151" s="30" t="n"/>
      <c r="I151" s="30" t="n"/>
      <c r="J151" s="30" t="n"/>
      <c r="K151" s="30" t="n"/>
      <c r="L151" s="30" t="n"/>
      <c r="M151" s="30" t="n"/>
      <c r="N151" s="30" t="n"/>
      <c r="O151" s="30" t="n"/>
      <c r="P151" s="30" t="n"/>
      <c r="Q151" s="30" t="n"/>
      <c r="R151" s="30" t="n"/>
      <c r="S151" s="30" t="n"/>
      <c r="T151" s="30" t="n"/>
      <c r="U151" s="30" t="n"/>
      <c r="V151" s="30" t="n"/>
      <c r="W151" s="30" t="n"/>
      <c r="X151" s="30" t="n"/>
      <c r="Y151" s="30" t="n"/>
      <c r="Z151" s="30" t="n"/>
    </row>
    <row r="152" ht="15.75" customHeight="1" s="134">
      <c r="A152" s="66" t="n"/>
      <c r="B152" s="66" t="n"/>
      <c r="C152" s="66" t="n"/>
      <c r="D152" s="66" t="n"/>
      <c r="E152" s="66" t="n"/>
      <c r="F152" s="66" t="n"/>
      <c r="G152" s="66" t="n"/>
      <c r="H152" s="30" t="n"/>
      <c r="I152" s="30" t="n"/>
      <c r="J152" s="30" t="n"/>
      <c r="K152" s="30" t="n"/>
      <c r="L152" s="30" t="n"/>
      <c r="M152" s="30" t="n"/>
      <c r="N152" s="30" t="n"/>
      <c r="O152" s="30" t="n"/>
      <c r="P152" s="30" t="n"/>
      <c r="Q152" s="30" t="n"/>
      <c r="R152" s="30" t="n"/>
      <c r="S152" s="30" t="n"/>
      <c r="T152" s="30" t="n"/>
      <c r="U152" s="30" t="n"/>
      <c r="V152" s="30" t="n"/>
      <c r="W152" s="30" t="n"/>
      <c r="X152" s="30" t="n"/>
      <c r="Y152" s="30" t="n"/>
      <c r="Z152" s="30" t="n"/>
    </row>
    <row r="153" ht="15.75" customHeight="1" s="134">
      <c r="A153" s="66" t="n"/>
      <c r="B153" s="66" t="n"/>
      <c r="C153" s="66" t="n"/>
      <c r="D153" s="66" t="n"/>
      <c r="E153" s="66" t="n"/>
      <c r="F153" s="66" t="n"/>
      <c r="G153" s="66" t="n"/>
      <c r="H153" s="30" t="n"/>
      <c r="I153" s="30" t="n"/>
      <c r="J153" s="30" t="n"/>
      <c r="K153" s="30" t="n"/>
      <c r="L153" s="30" t="n"/>
      <c r="M153" s="30" t="n"/>
      <c r="N153" s="30" t="n"/>
      <c r="O153" s="30" t="n"/>
      <c r="P153" s="30" t="n"/>
      <c r="Q153" s="30" t="n"/>
      <c r="R153" s="30" t="n"/>
      <c r="S153" s="30" t="n"/>
      <c r="T153" s="30" t="n"/>
      <c r="U153" s="30" t="n"/>
      <c r="V153" s="30" t="n"/>
      <c r="W153" s="30" t="n"/>
      <c r="X153" s="30" t="n"/>
      <c r="Y153" s="30" t="n"/>
      <c r="Z153" s="30" t="n"/>
    </row>
    <row r="154" ht="15.75" customHeight="1" s="134">
      <c r="A154" s="66" t="n"/>
      <c r="B154" s="66" t="n"/>
      <c r="C154" s="66" t="n"/>
      <c r="D154" s="66" t="n"/>
      <c r="E154" s="66" t="n"/>
      <c r="F154" s="66" t="n"/>
      <c r="G154" s="66" t="n"/>
      <c r="H154" s="30" t="n"/>
      <c r="I154" s="30" t="n"/>
      <c r="J154" s="30" t="n"/>
      <c r="K154" s="30" t="n"/>
      <c r="L154" s="30" t="n"/>
      <c r="M154" s="30" t="n"/>
      <c r="N154" s="30" t="n"/>
      <c r="O154" s="30" t="n"/>
      <c r="P154" s="30" t="n"/>
      <c r="Q154" s="30" t="n"/>
      <c r="R154" s="30" t="n"/>
      <c r="S154" s="30" t="n"/>
      <c r="T154" s="30" t="n"/>
      <c r="U154" s="30" t="n"/>
      <c r="V154" s="30" t="n"/>
      <c r="W154" s="30" t="n"/>
      <c r="X154" s="30" t="n"/>
      <c r="Y154" s="30" t="n"/>
      <c r="Z154" s="30" t="n"/>
    </row>
    <row r="155" ht="15.75" customHeight="1" s="134">
      <c r="A155" s="66" t="n"/>
      <c r="B155" s="66" t="n"/>
      <c r="C155" s="66" t="n"/>
      <c r="D155" s="66" t="n"/>
      <c r="E155" s="66" t="n"/>
      <c r="F155" s="66" t="n"/>
      <c r="G155" s="66" t="n"/>
      <c r="H155" s="30" t="n"/>
      <c r="I155" s="30" t="n"/>
      <c r="J155" s="30" t="n"/>
      <c r="K155" s="30" t="n"/>
      <c r="L155" s="30" t="n"/>
      <c r="M155" s="30" t="n"/>
      <c r="N155" s="30" t="n"/>
      <c r="O155" s="30" t="n"/>
      <c r="P155" s="30" t="n"/>
      <c r="Q155" s="30" t="n"/>
      <c r="R155" s="30" t="n"/>
      <c r="S155" s="30" t="n"/>
      <c r="T155" s="30" t="n"/>
      <c r="U155" s="30" t="n"/>
      <c r="V155" s="30" t="n"/>
      <c r="W155" s="30" t="n"/>
      <c r="X155" s="30" t="n"/>
      <c r="Y155" s="30" t="n"/>
      <c r="Z155" s="30" t="n"/>
    </row>
    <row r="156" ht="15.75" customHeight="1" s="134">
      <c r="A156" s="66" t="n"/>
      <c r="B156" s="66" t="n"/>
      <c r="C156" s="66" t="n"/>
      <c r="D156" s="66" t="n"/>
      <c r="E156" s="66" t="n"/>
      <c r="F156" s="66" t="n"/>
      <c r="G156" s="66" t="n"/>
      <c r="H156" s="30" t="n"/>
      <c r="I156" s="30" t="n"/>
      <c r="J156" s="30" t="n"/>
      <c r="K156" s="30" t="n"/>
      <c r="L156" s="30" t="n"/>
      <c r="M156" s="30" t="n"/>
      <c r="N156" s="30" t="n"/>
      <c r="O156" s="30" t="n"/>
      <c r="P156" s="30" t="n"/>
      <c r="Q156" s="30" t="n"/>
      <c r="R156" s="30" t="n"/>
      <c r="S156" s="30" t="n"/>
      <c r="T156" s="30" t="n"/>
      <c r="U156" s="30" t="n"/>
      <c r="V156" s="30" t="n"/>
      <c r="W156" s="30" t="n"/>
      <c r="X156" s="30" t="n"/>
      <c r="Y156" s="30" t="n"/>
      <c r="Z156" s="30" t="n"/>
    </row>
    <row r="157" ht="15.75" customHeight="1" s="134">
      <c r="A157" s="66" t="n"/>
      <c r="B157" s="66" t="n"/>
      <c r="C157" s="66" t="n"/>
      <c r="D157" s="66" t="n"/>
      <c r="E157" s="66" t="n"/>
      <c r="F157" s="66" t="n"/>
      <c r="G157" s="66" t="n"/>
      <c r="H157" s="30" t="n"/>
      <c r="I157" s="30" t="n"/>
      <c r="J157" s="30" t="n"/>
      <c r="K157" s="30" t="n"/>
      <c r="L157" s="30" t="n"/>
      <c r="M157" s="30" t="n"/>
      <c r="N157" s="30" t="n"/>
      <c r="O157" s="30" t="n"/>
      <c r="P157" s="30" t="n"/>
      <c r="Q157" s="30" t="n"/>
      <c r="R157" s="30" t="n"/>
      <c r="S157" s="30" t="n"/>
      <c r="T157" s="30" t="n"/>
      <c r="U157" s="30" t="n"/>
      <c r="V157" s="30" t="n"/>
      <c r="W157" s="30" t="n"/>
      <c r="X157" s="30" t="n"/>
      <c r="Y157" s="30" t="n"/>
      <c r="Z157" s="30" t="n"/>
    </row>
    <row r="158" ht="15.75" customHeight="1" s="134">
      <c r="A158" s="66" t="n"/>
      <c r="B158" s="66" t="n"/>
      <c r="C158" s="66" t="n"/>
      <c r="D158" s="66" t="n"/>
      <c r="E158" s="66" t="n"/>
      <c r="F158" s="66" t="n"/>
      <c r="G158" s="66" t="n"/>
      <c r="H158" s="30" t="n"/>
      <c r="I158" s="30" t="n"/>
      <c r="J158" s="30" t="n"/>
      <c r="K158" s="30" t="n"/>
      <c r="L158" s="30" t="n"/>
      <c r="M158" s="30" t="n"/>
      <c r="N158" s="30" t="n"/>
      <c r="O158" s="30" t="n"/>
      <c r="P158" s="30" t="n"/>
      <c r="Q158" s="30" t="n"/>
      <c r="R158" s="30" t="n"/>
      <c r="S158" s="30" t="n"/>
      <c r="T158" s="30" t="n"/>
      <c r="U158" s="30" t="n"/>
      <c r="V158" s="30" t="n"/>
      <c r="W158" s="30" t="n"/>
      <c r="X158" s="30" t="n"/>
      <c r="Y158" s="30" t="n"/>
      <c r="Z158" s="30" t="n"/>
    </row>
    <row r="159" ht="15.75" customHeight="1" s="134">
      <c r="A159" s="66" t="n"/>
      <c r="B159" s="66" t="n"/>
      <c r="C159" s="66" t="n"/>
      <c r="D159" s="66" t="n"/>
      <c r="E159" s="66" t="n"/>
      <c r="F159" s="66" t="n"/>
      <c r="G159" s="66" t="n"/>
      <c r="H159" s="30" t="n"/>
      <c r="I159" s="30" t="n"/>
      <c r="J159" s="30" t="n"/>
      <c r="K159" s="30" t="n"/>
      <c r="L159" s="30" t="n"/>
      <c r="M159" s="30" t="n"/>
      <c r="N159" s="30" t="n"/>
      <c r="O159" s="30" t="n"/>
      <c r="P159" s="30" t="n"/>
      <c r="Q159" s="30" t="n"/>
      <c r="R159" s="30" t="n"/>
      <c r="S159" s="30" t="n"/>
      <c r="T159" s="30" t="n"/>
      <c r="U159" s="30" t="n"/>
      <c r="V159" s="30" t="n"/>
      <c r="W159" s="30" t="n"/>
      <c r="X159" s="30" t="n"/>
      <c r="Y159" s="30" t="n"/>
      <c r="Z159" s="30" t="n"/>
    </row>
    <row r="160" ht="15.75" customHeight="1" s="134">
      <c r="A160" s="66" t="n"/>
      <c r="B160" s="66" t="n"/>
      <c r="C160" s="66" t="n"/>
      <c r="D160" s="66" t="n"/>
      <c r="E160" s="66" t="n"/>
      <c r="F160" s="66" t="n"/>
      <c r="G160" s="66" t="n"/>
      <c r="H160" s="30" t="n"/>
      <c r="I160" s="30" t="n"/>
      <c r="J160" s="30" t="n"/>
      <c r="K160" s="30" t="n"/>
      <c r="L160" s="30" t="n"/>
      <c r="M160" s="30" t="n"/>
      <c r="N160" s="30" t="n"/>
      <c r="O160" s="30" t="n"/>
      <c r="P160" s="30" t="n"/>
      <c r="Q160" s="30" t="n"/>
      <c r="R160" s="30" t="n"/>
      <c r="S160" s="30" t="n"/>
      <c r="T160" s="30" t="n"/>
      <c r="U160" s="30" t="n"/>
      <c r="V160" s="30" t="n"/>
      <c r="W160" s="30" t="n"/>
      <c r="X160" s="30" t="n"/>
      <c r="Y160" s="30" t="n"/>
      <c r="Z160" s="30" t="n"/>
    </row>
    <row r="161" ht="15.75" customHeight="1" s="134">
      <c r="A161" s="66" t="n"/>
      <c r="B161" s="66" t="n"/>
      <c r="C161" s="66" t="n"/>
      <c r="D161" s="66" t="n"/>
      <c r="E161" s="66" t="n"/>
      <c r="F161" s="66" t="n"/>
      <c r="G161" s="66" t="n"/>
      <c r="H161" s="30" t="n"/>
      <c r="I161" s="30" t="n"/>
      <c r="J161" s="30" t="n"/>
      <c r="K161" s="30" t="n"/>
      <c r="L161" s="30" t="n"/>
      <c r="M161" s="30" t="n"/>
      <c r="N161" s="30" t="n"/>
      <c r="O161" s="30" t="n"/>
      <c r="P161" s="30" t="n"/>
      <c r="Q161" s="30" t="n"/>
      <c r="R161" s="30" t="n"/>
      <c r="S161" s="30" t="n"/>
      <c r="T161" s="30" t="n"/>
      <c r="U161" s="30" t="n"/>
      <c r="V161" s="30" t="n"/>
      <c r="W161" s="30" t="n"/>
      <c r="X161" s="30" t="n"/>
      <c r="Y161" s="30" t="n"/>
      <c r="Z161" s="30" t="n"/>
    </row>
    <row r="162" ht="15.75" customHeight="1" s="134">
      <c r="A162" s="66" t="n"/>
      <c r="B162" s="66" t="n"/>
      <c r="C162" s="66" t="n"/>
      <c r="D162" s="66" t="n"/>
      <c r="E162" s="66" t="n"/>
      <c r="F162" s="66" t="n"/>
      <c r="G162" s="66" t="n"/>
      <c r="H162" s="30" t="n"/>
      <c r="I162" s="30" t="n"/>
      <c r="J162" s="30" t="n"/>
      <c r="K162" s="30" t="n"/>
      <c r="L162" s="30" t="n"/>
      <c r="M162" s="30" t="n"/>
      <c r="N162" s="30" t="n"/>
      <c r="O162" s="30" t="n"/>
      <c r="P162" s="30" t="n"/>
      <c r="Q162" s="30" t="n"/>
      <c r="R162" s="30" t="n"/>
      <c r="S162" s="30" t="n"/>
      <c r="T162" s="30" t="n"/>
      <c r="U162" s="30" t="n"/>
      <c r="V162" s="30" t="n"/>
      <c r="W162" s="30" t="n"/>
      <c r="X162" s="30" t="n"/>
      <c r="Y162" s="30" t="n"/>
      <c r="Z162" s="30" t="n"/>
    </row>
    <row r="163" ht="15.75" customHeight="1" s="134">
      <c r="A163" s="66" t="n"/>
      <c r="B163" s="66" t="n"/>
      <c r="C163" s="66" t="n"/>
      <c r="D163" s="66" t="n"/>
      <c r="E163" s="66" t="n"/>
      <c r="F163" s="66" t="n"/>
      <c r="G163" s="66" t="n"/>
      <c r="H163" s="30" t="n"/>
      <c r="I163" s="30" t="n"/>
      <c r="J163" s="30" t="n"/>
      <c r="K163" s="30" t="n"/>
      <c r="L163" s="30" t="n"/>
      <c r="M163" s="30" t="n"/>
      <c r="N163" s="30" t="n"/>
      <c r="O163" s="30" t="n"/>
      <c r="P163" s="30" t="n"/>
      <c r="Q163" s="30" t="n"/>
      <c r="R163" s="30" t="n"/>
      <c r="S163" s="30" t="n"/>
      <c r="T163" s="30" t="n"/>
      <c r="U163" s="30" t="n"/>
      <c r="V163" s="30" t="n"/>
      <c r="W163" s="30" t="n"/>
      <c r="X163" s="30" t="n"/>
      <c r="Y163" s="30" t="n"/>
      <c r="Z163" s="30" t="n"/>
    </row>
    <row r="164" ht="15.75" customHeight="1" s="134">
      <c r="A164" s="66" t="n"/>
      <c r="B164" s="66" t="n"/>
      <c r="C164" s="66" t="n"/>
      <c r="D164" s="66" t="n"/>
      <c r="E164" s="66" t="n"/>
      <c r="F164" s="66" t="n"/>
      <c r="G164" s="66" t="n"/>
      <c r="H164" s="30" t="n"/>
      <c r="I164" s="30" t="n"/>
      <c r="J164" s="30" t="n"/>
      <c r="K164" s="30" t="n"/>
      <c r="L164" s="30" t="n"/>
      <c r="M164" s="30" t="n"/>
      <c r="N164" s="30" t="n"/>
      <c r="O164" s="30" t="n"/>
      <c r="P164" s="30" t="n"/>
      <c r="Q164" s="30" t="n"/>
      <c r="R164" s="30" t="n"/>
      <c r="S164" s="30" t="n"/>
      <c r="T164" s="30" t="n"/>
      <c r="U164" s="30" t="n"/>
      <c r="V164" s="30" t="n"/>
      <c r="W164" s="30" t="n"/>
      <c r="X164" s="30" t="n"/>
      <c r="Y164" s="30" t="n"/>
      <c r="Z164" s="30" t="n"/>
    </row>
    <row r="165" ht="15.75" customHeight="1" s="134">
      <c r="A165" s="66" t="n"/>
      <c r="B165" s="66" t="n"/>
      <c r="C165" s="66" t="n"/>
      <c r="D165" s="66" t="n"/>
      <c r="E165" s="66" t="n"/>
      <c r="F165" s="66" t="n"/>
      <c r="G165" s="66" t="n"/>
      <c r="H165" s="30" t="n"/>
      <c r="I165" s="30" t="n"/>
      <c r="J165" s="30" t="n"/>
      <c r="K165" s="30" t="n"/>
      <c r="L165" s="30" t="n"/>
      <c r="M165" s="30" t="n"/>
      <c r="N165" s="30" t="n"/>
      <c r="O165" s="30" t="n"/>
      <c r="P165" s="30" t="n"/>
      <c r="Q165" s="30" t="n"/>
      <c r="R165" s="30" t="n"/>
      <c r="S165" s="30" t="n"/>
      <c r="T165" s="30" t="n"/>
      <c r="U165" s="30" t="n"/>
      <c r="V165" s="30" t="n"/>
      <c r="W165" s="30" t="n"/>
      <c r="X165" s="30" t="n"/>
      <c r="Y165" s="30" t="n"/>
      <c r="Z165" s="30" t="n"/>
    </row>
    <row r="166" ht="15.75" customHeight="1" s="134">
      <c r="A166" s="66" t="n"/>
      <c r="B166" s="66" t="n"/>
      <c r="C166" s="66" t="n"/>
      <c r="D166" s="66" t="n"/>
      <c r="E166" s="66" t="n"/>
      <c r="F166" s="66" t="n"/>
      <c r="G166" s="66" t="n"/>
      <c r="H166" s="30" t="n"/>
      <c r="I166" s="30" t="n"/>
      <c r="J166" s="30" t="n"/>
      <c r="K166" s="30" t="n"/>
      <c r="L166" s="30" t="n"/>
      <c r="M166" s="30" t="n"/>
      <c r="N166" s="30" t="n"/>
      <c r="O166" s="30" t="n"/>
      <c r="P166" s="30" t="n"/>
      <c r="Q166" s="30" t="n"/>
      <c r="R166" s="30" t="n"/>
      <c r="S166" s="30" t="n"/>
      <c r="T166" s="30" t="n"/>
      <c r="U166" s="30" t="n"/>
      <c r="V166" s="30" t="n"/>
      <c r="W166" s="30" t="n"/>
      <c r="X166" s="30" t="n"/>
      <c r="Y166" s="30" t="n"/>
      <c r="Z166" s="30" t="n"/>
    </row>
    <row r="167" ht="15.75" customHeight="1" s="134">
      <c r="A167" s="66" t="n"/>
      <c r="B167" s="66" t="n"/>
      <c r="C167" s="66" t="n"/>
      <c r="D167" s="66" t="n"/>
      <c r="E167" s="66" t="n"/>
      <c r="F167" s="66" t="n"/>
      <c r="G167" s="66" t="n"/>
      <c r="H167" s="30" t="n"/>
      <c r="I167" s="30" t="n"/>
      <c r="J167" s="30" t="n"/>
      <c r="K167" s="30" t="n"/>
      <c r="L167" s="30" t="n"/>
      <c r="M167" s="30" t="n"/>
      <c r="N167" s="30" t="n"/>
      <c r="O167" s="30" t="n"/>
      <c r="P167" s="30" t="n"/>
      <c r="Q167" s="30" t="n"/>
      <c r="R167" s="30" t="n"/>
      <c r="S167" s="30" t="n"/>
      <c r="T167" s="30" t="n"/>
      <c r="U167" s="30" t="n"/>
      <c r="V167" s="30" t="n"/>
      <c r="W167" s="30" t="n"/>
      <c r="X167" s="30" t="n"/>
      <c r="Y167" s="30" t="n"/>
      <c r="Z167" s="30" t="n"/>
    </row>
    <row r="168" ht="15.75" customHeight="1" s="134">
      <c r="A168" s="66" t="n"/>
      <c r="B168" s="66" t="n"/>
      <c r="C168" s="66" t="n"/>
      <c r="D168" s="66" t="n"/>
      <c r="E168" s="66" t="n"/>
      <c r="F168" s="66" t="n"/>
      <c r="G168" s="66" t="n"/>
      <c r="H168" s="30" t="n"/>
      <c r="I168" s="30" t="n"/>
      <c r="J168" s="30" t="n"/>
      <c r="K168" s="30" t="n"/>
      <c r="L168" s="30" t="n"/>
      <c r="M168" s="30" t="n"/>
      <c r="N168" s="30" t="n"/>
      <c r="O168" s="30" t="n"/>
      <c r="P168" s="30" t="n"/>
      <c r="Q168" s="30" t="n"/>
      <c r="R168" s="30" t="n"/>
      <c r="S168" s="30" t="n"/>
      <c r="T168" s="30" t="n"/>
      <c r="U168" s="30" t="n"/>
      <c r="V168" s="30" t="n"/>
      <c r="W168" s="30" t="n"/>
      <c r="X168" s="30" t="n"/>
      <c r="Y168" s="30" t="n"/>
      <c r="Z168" s="30" t="n"/>
    </row>
    <row r="169" ht="15.75" customHeight="1" s="134">
      <c r="A169" s="66" t="n"/>
      <c r="B169" s="66" t="n"/>
      <c r="C169" s="66" t="n"/>
      <c r="D169" s="66" t="n"/>
      <c r="E169" s="66" t="n"/>
      <c r="F169" s="66" t="n"/>
      <c r="G169" s="66" t="n"/>
      <c r="H169" s="30" t="n"/>
      <c r="I169" s="30" t="n"/>
      <c r="J169" s="30" t="n"/>
      <c r="K169" s="30" t="n"/>
      <c r="L169" s="30" t="n"/>
      <c r="M169" s="30" t="n"/>
      <c r="N169" s="30" t="n"/>
      <c r="O169" s="30" t="n"/>
      <c r="P169" s="30" t="n"/>
      <c r="Q169" s="30" t="n"/>
      <c r="R169" s="30" t="n"/>
      <c r="S169" s="30" t="n"/>
      <c r="T169" s="30" t="n"/>
      <c r="U169" s="30" t="n"/>
      <c r="V169" s="30" t="n"/>
      <c r="W169" s="30" t="n"/>
      <c r="X169" s="30" t="n"/>
      <c r="Y169" s="30" t="n"/>
      <c r="Z169" s="30" t="n"/>
    </row>
    <row r="170" ht="15.75" customHeight="1" s="134">
      <c r="A170" s="66" t="n"/>
      <c r="B170" s="66" t="n"/>
      <c r="C170" s="66" t="n"/>
      <c r="D170" s="66" t="n"/>
      <c r="E170" s="66" t="n"/>
      <c r="F170" s="66" t="n"/>
      <c r="G170" s="66" t="n"/>
      <c r="H170" s="30" t="n"/>
      <c r="I170" s="30" t="n"/>
      <c r="J170" s="30" t="n"/>
      <c r="K170" s="30" t="n"/>
      <c r="L170" s="30" t="n"/>
      <c r="M170" s="30" t="n"/>
      <c r="N170" s="30" t="n"/>
      <c r="O170" s="30" t="n"/>
      <c r="P170" s="30" t="n"/>
      <c r="Q170" s="30" t="n"/>
      <c r="R170" s="30" t="n"/>
      <c r="S170" s="30" t="n"/>
      <c r="T170" s="30" t="n"/>
      <c r="U170" s="30" t="n"/>
      <c r="V170" s="30" t="n"/>
      <c r="W170" s="30" t="n"/>
      <c r="X170" s="30" t="n"/>
      <c r="Y170" s="30" t="n"/>
      <c r="Z170" s="30" t="n"/>
    </row>
    <row r="171" ht="15.75" customHeight="1" s="134">
      <c r="A171" s="66" t="n"/>
      <c r="B171" s="66" t="n"/>
      <c r="C171" s="66" t="n"/>
      <c r="D171" s="66" t="n"/>
      <c r="E171" s="66" t="n"/>
      <c r="F171" s="66" t="n"/>
      <c r="G171" s="66" t="n"/>
      <c r="H171" s="30" t="n"/>
      <c r="I171" s="30" t="n"/>
      <c r="J171" s="30" t="n"/>
      <c r="K171" s="30" t="n"/>
      <c r="L171" s="30" t="n"/>
      <c r="M171" s="30" t="n"/>
      <c r="N171" s="30" t="n"/>
      <c r="O171" s="30" t="n"/>
      <c r="P171" s="30" t="n"/>
      <c r="Q171" s="30" t="n"/>
      <c r="R171" s="30" t="n"/>
      <c r="S171" s="30" t="n"/>
      <c r="T171" s="30" t="n"/>
      <c r="U171" s="30" t="n"/>
      <c r="V171" s="30" t="n"/>
      <c r="W171" s="30" t="n"/>
      <c r="X171" s="30" t="n"/>
      <c r="Y171" s="30" t="n"/>
      <c r="Z171" s="30" t="n"/>
    </row>
    <row r="172" ht="15.75" customHeight="1" s="134">
      <c r="A172" s="66" t="n"/>
      <c r="B172" s="66" t="n"/>
      <c r="C172" s="66" t="n"/>
      <c r="D172" s="66" t="n"/>
      <c r="E172" s="66" t="n"/>
      <c r="F172" s="66" t="n"/>
      <c r="G172" s="66" t="n"/>
      <c r="H172" s="30" t="n"/>
      <c r="I172" s="30" t="n"/>
      <c r="J172" s="30" t="n"/>
      <c r="K172" s="30" t="n"/>
      <c r="L172" s="30" t="n"/>
      <c r="M172" s="30" t="n"/>
      <c r="N172" s="30" t="n"/>
      <c r="O172" s="30" t="n"/>
      <c r="P172" s="30" t="n"/>
      <c r="Q172" s="30" t="n"/>
      <c r="R172" s="30" t="n"/>
      <c r="S172" s="30" t="n"/>
      <c r="T172" s="30" t="n"/>
      <c r="U172" s="30" t="n"/>
      <c r="V172" s="30" t="n"/>
      <c r="W172" s="30" t="n"/>
      <c r="X172" s="30" t="n"/>
      <c r="Y172" s="30" t="n"/>
      <c r="Z172" s="30" t="n"/>
    </row>
    <row r="173" ht="15.75" customHeight="1" s="134">
      <c r="A173" s="66" t="n"/>
      <c r="B173" s="66" t="n"/>
      <c r="C173" s="66" t="n"/>
      <c r="D173" s="66" t="n"/>
      <c r="E173" s="66" t="n"/>
      <c r="F173" s="66" t="n"/>
      <c r="G173" s="66" t="n"/>
      <c r="H173" s="30" t="n"/>
      <c r="I173" s="30" t="n"/>
      <c r="J173" s="30" t="n"/>
      <c r="K173" s="30" t="n"/>
      <c r="L173" s="30" t="n"/>
      <c r="M173" s="30" t="n"/>
      <c r="N173" s="30" t="n"/>
      <c r="O173" s="30" t="n"/>
      <c r="P173" s="30" t="n"/>
      <c r="Q173" s="30" t="n"/>
      <c r="R173" s="30" t="n"/>
      <c r="S173" s="30" t="n"/>
      <c r="T173" s="30" t="n"/>
      <c r="U173" s="30" t="n"/>
      <c r="V173" s="30" t="n"/>
      <c r="W173" s="30" t="n"/>
      <c r="X173" s="30" t="n"/>
      <c r="Y173" s="30" t="n"/>
      <c r="Z173" s="30" t="n"/>
    </row>
    <row r="174" ht="15.75" customHeight="1" s="134">
      <c r="A174" s="66" t="n"/>
      <c r="B174" s="66" t="n"/>
      <c r="C174" s="66" t="n"/>
      <c r="D174" s="66" t="n"/>
      <c r="E174" s="66" t="n"/>
      <c r="F174" s="66" t="n"/>
      <c r="G174" s="66" t="n"/>
      <c r="H174" s="30" t="n"/>
      <c r="I174" s="30" t="n"/>
      <c r="J174" s="30" t="n"/>
      <c r="K174" s="30" t="n"/>
      <c r="L174" s="30" t="n"/>
      <c r="M174" s="30" t="n"/>
      <c r="N174" s="30" t="n"/>
      <c r="O174" s="30" t="n"/>
      <c r="P174" s="30" t="n"/>
      <c r="Q174" s="30" t="n"/>
      <c r="R174" s="30" t="n"/>
      <c r="S174" s="30" t="n"/>
      <c r="T174" s="30" t="n"/>
      <c r="U174" s="30" t="n"/>
      <c r="V174" s="30" t="n"/>
      <c r="W174" s="30" t="n"/>
      <c r="X174" s="30" t="n"/>
      <c r="Y174" s="30" t="n"/>
      <c r="Z174" s="30" t="n"/>
    </row>
    <row r="175" ht="15.75" customHeight="1" s="134">
      <c r="A175" s="66" t="n"/>
      <c r="B175" s="66" t="n"/>
      <c r="C175" s="66" t="n"/>
      <c r="D175" s="66" t="n"/>
      <c r="E175" s="66" t="n"/>
      <c r="F175" s="66" t="n"/>
      <c r="G175" s="66" t="n"/>
      <c r="H175" s="30" t="n"/>
      <c r="I175" s="30" t="n"/>
      <c r="J175" s="30" t="n"/>
      <c r="K175" s="30" t="n"/>
      <c r="L175" s="30" t="n"/>
      <c r="M175" s="30" t="n"/>
      <c r="N175" s="30" t="n"/>
      <c r="O175" s="30" t="n"/>
      <c r="P175" s="30" t="n"/>
      <c r="Q175" s="30" t="n"/>
      <c r="R175" s="30" t="n"/>
      <c r="S175" s="30" t="n"/>
      <c r="T175" s="30" t="n"/>
      <c r="U175" s="30" t="n"/>
      <c r="V175" s="30" t="n"/>
      <c r="W175" s="30" t="n"/>
      <c r="X175" s="30" t="n"/>
      <c r="Y175" s="30" t="n"/>
      <c r="Z175" s="30" t="n"/>
    </row>
    <row r="176" ht="15.75" customHeight="1" s="134">
      <c r="A176" s="66" t="n"/>
      <c r="B176" s="66" t="n"/>
      <c r="C176" s="66" t="n"/>
      <c r="D176" s="66" t="n"/>
      <c r="E176" s="66" t="n"/>
      <c r="F176" s="66" t="n"/>
      <c r="G176" s="66" t="n"/>
      <c r="H176" s="30" t="n"/>
      <c r="I176" s="30" t="n"/>
      <c r="J176" s="30" t="n"/>
      <c r="K176" s="30" t="n"/>
      <c r="L176" s="30" t="n"/>
      <c r="M176" s="30" t="n"/>
      <c r="N176" s="30" t="n"/>
      <c r="O176" s="30" t="n"/>
      <c r="P176" s="30" t="n"/>
      <c r="Q176" s="30" t="n"/>
      <c r="R176" s="30" t="n"/>
      <c r="S176" s="30" t="n"/>
      <c r="T176" s="30" t="n"/>
      <c r="U176" s="30" t="n"/>
      <c r="V176" s="30" t="n"/>
      <c r="W176" s="30" t="n"/>
      <c r="X176" s="30" t="n"/>
      <c r="Y176" s="30" t="n"/>
      <c r="Z176" s="30" t="n"/>
    </row>
    <row r="177" ht="15.75" customHeight="1" s="134">
      <c r="A177" s="66" t="n"/>
      <c r="B177" s="66" t="n"/>
      <c r="C177" s="66" t="n"/>
      <c r="D177" s="66" t="n"/>
      <c r="E177" s="66" t="n"/>
      <c r="F177" s="66" t="n"/>
      <c r="G177" s="66" t="n"/>
      <c r="H177" s="30" t="n"/>
      <c r="I177" s="30" t="n"/>
      <c r="J177" s="30" t="n"/>
      <c r="K177" s="30" t="n"/>
      <c r="L177" s="30" t="n"/>
      <c r="M177" s="30" t="n"/>
      <c r="N177" s="30" t="n"/>
      <c r="O177" s="30" t="n"/>
      <c r="P177" s="30" t="n"/>
      <c r="Q177" s="30" t="n"/>
      <c r="R177" s="30" t="n"/>
      <c r="S177" s="30" t="n"/>
      <c r="T177" s="30" t="n"/>
      <c r="U177" s="30" t="n"/>
      <c r="V177" s="30" t="n"/>
      <c r="W177" s="30" t="n"/>
      <c r="X177" s="30" t="n"/>
      <c r="Y177" s="30" t="n"/>
      <c r="Z177" s="30" t="n"/>
    </row>
    <row r="178" ht="15.75" customHeight="1" s="134">
      <c r="A178" s="66" t="n"/>
      <c r="B178" s="66" t="n"/>
      <c r="C178" s="66" t="n"/>
      <c r="D178" s="66" t="n"/>
      <c r="E178" s="66" t="n"/>
      <c r="F178" s="66" t="n"/>
      <c r="G178" s="66" t="n"/>
      <c r="H178" s="30" t="n"/>
      <c r="I178" s="30" t="n"/>
      <c r="J178" s="30" t="n"/>
      <c r="K178" s="30" t="n"/>
      <c r="L178" s="30" t="n"/>
      <c r="M178" s="30" t="n"/>
      <c r="N178" s="30" t="n"/>
      <c r="O178" s="30" t="n"/>
      <c r="P178" s="30" t="n"/>
      <c r="Q178" s="30" t="n"/>
      <c r="R178" s="30" t="n"/>
      <c r="S178" s="30" t="n"/>
      <c r="T178" s="30" t="n"/>
      <c r="U178" s="30" t="n"/>
      <c r="V178" s="30" t="n"/>
      <c r="W178" s="30" t="n"/>
      <c r="X178" s="30" t="n"/>
      <c r="Y178" s="30" t="n"/>
      <c r="Z178" s="30" t="n"/>
    </row>
    <row r="179" ht="15.75" customHeight="1" s="134">
      <c r="A179" s="66" t="n"/>
      <c r="B179" s="66" t="n"/>
      <c r="C179" s="66" t="n"/>
      <c r="D179" s="66" t="n"/>
      <c r="E179" s="66" t="n"/>
      <c r="F179" s="66" t="n"/>
      <c r="G179" s="66" t="n"/>
      <c r="H179" s="30" t="n"/>
      <c r="I179" s="30" t="n"/>
      <c r="J179" s="30" t="n"/>
      <c r="K179" s="30" t="n"/>
      <c r="L179" s="30" t="n"/>
      <c r="M179" s="30" t="n"/>
      <c r="N179" s="30" t="n"/>
      <c r="O179" s="30" t="n"/>
      <c r="P179" s="30" t="n"/>
      <c r="Q179" s="30" t="n"/>
      <c r="R179" s="30" t="n"/>
      <c r="S179" s="30" t="n"/>
      <c r="T179" s="30" t="n"/>
      <c r="U179" s="30" t="n"/>
      <c r="V179" s="30" t="n"/>
      <c r="W179" s="30" t="n"/>
      <c r="X179" s="30" t="n"/>
      <c r="Y179" s="30" t="n"/>
      <c r="Z179" s="30" t="n"/>
    </row>
    <row r="180" ht="15.75" customHeight="1" s="134">
      <c r="A180" s="66" t="n"/>
      <c r="B180" s="66" t="n"/>
      <c r="C180" s="66" t="n"/>
      <c r="D180" s="66" t="n"/>
      <c r="E180" s="66" t="n"/>
      <c r="F180" s="66" t="n"/>
      <c r="G180" s="66" t="n"/>
      <c r="H180" s="30" t="n"/>
      <c r="I180" s="30" t="n"/>
      <c r="J180" s="30" t="n"/>
      <c r="K180" s="30" t="n"/>
      <c r="L180" s="30" t="n"/>
      <c r="M180" s="30" t="n"/>
      <c r="N180" s="30" t="n"/>
      <c r="O180" s="30" t="n"/>
      <c r="P180" s="30" t="n"/>
      <c r="Q180" s="30" t="n"/>
      <c r="R180" s="30" t="n"/>
      <c r="S180" s="30" t="n"/>
      <c r="T180" s="30" t="n"/>
      <c r="U180" s="30" t="n"/>
      <c r="V180" s="30" t="n"/>
      <c r="W180" s="30" t="n"/>
      <c r="X180" s="30" t="n"/>
      <c r="Y180" s="30" t="n"/>
      <c r="Z180" s="30" t="n"/>
    </row>
    <row r="181" ht="15.75" customHeight="1" s="134">
      <c r="A181" s="66" t="n"/>
      <c r="B181" s="66" t="n"/>
      <c r="C181" s="66" t="n"/>
      <c r="D181" s="66" t="n"/>
      <c r="E181" s="66" t="n"/>
      <c r="F181" s="66" t="n"/>
      <c r="G181" s="66" t="n"/>
      <c r="H181" s="30" t="n"/>
      <c r="I181" s="30" t="n"/>
      <c r="J181" s="30" t="n"/>
      <c r="K181" s="30" t="n"/>
      <c r="L181" s="30" t="n"/>
      <c r="M181" s="30" t="n"/>
      <c r="N181" s="30" t="n"/>
      <c r="O181" s="30" t="n"/>
      <c r="P181" s="30" t="n"/>
      <c r="Q181" s="30" t="n"/>
      <c r="R181" s="30" t="n"/>
      <c r="S181" s="30" t="n"/>
      <c r="T181" s="30" t="n"/>
      <c r="U181" s="30" t="n"/>
      <c r="V181" s="30" t="n"/>
      <c r="W181" s="30" t="n"/>
      <c r="X181" s="30" t="n"/>
      <c r="Y181" s="30" t="n"/>
      <c r="Z181" s="30" t="n"/>
    </row>
    <row r="182" ht="15.75" customHeight="1" s="134">
      <c r="A182" s="66" t="n"/>
      <c r="B182" s="66" t="n"/>
      <c r="C182" s="66" t="n"/>
      <c r="D182" s="66" t="n"/>
      <c r="E182" s="66" t="n"/>
      <c r="F182" s="66" t="n"/>
      <c r="G182" s="66" t="n"/>
      <c r="H182" s="30" t="n"/>
      <c r="I182" s="30" t="n"/>
      <c r="J182" s="30" t="n"/>
      <c r="K182" s="30" t="n"/>
      <c r="L182" s="30" t="n"/>
      <c r="M182" s="30" t="n"/>
      <c r="N182" s="30" t="n"/>
      <c r="O182" s="30" t="n"/>
      <c r="P182" s="30" t="n"/>
      <c r="Q182" s="30" t="n"/>
      <c r="R182" s="30" t="n"/>
      <c r="S182" s="30" t="n"/>
      <c r="T182" s="30" t="n"/>
      <c r="U182" s="30" t="n"/>
      <c r="V182" s="30" t="n"/>
      <c r="W182" s="30" t="n"/>
      <c r="X182" s="30" t="n"/>
      <c r="Y182" s="30" t="n"/>
      <c r="Z182" s="30" t="n"/>
    </row>
    <row r="183" ht="15.75" customHeight="1" s="134">
      <c r="A183" s="66" t="n"/>
      <c r="B183" s="66" t="n"/>
      <c r="C183" s="66" t="n"/>
      <c r="D183" s="66" t="n"/>
      <c r="E183" s="66" t="n"/>
      <c r="F183" s="66" t="n"/>
      <c r="G183" s="66" t="n"/>
      <c r="H183" s="30" t="n"/>
      <c r="I183" s="30" t="n"/>
      <c r="J183" s="30" t="n"/>
      <c r="K183" s="30" t="n"/>
      <c r="L183" s="30" t="n"/>
      <c r="M183" s="30" t="n"/>
      <c r="N183" s="30" t="n"/>
      <c r="O183" s="30" t="n"/>
      <c r="P183" s="30" t="n"/>
      <c r="Q183" s="30" t="n"/>
      <c r="R183" s="30" t="n"/>
      <c r="S183" s="30" t="n"/>
      <c r="T183" s="30" t="n"/>
      <c r="U183" s="30" t="n"/>
      <c r="V183" s="30" t="n"/>
      <c r="W183" s="30" t="n"/>
      <c r="X183" s="30" t="n"/>
      <c r="Y183" s="30" t="n"/>
      <c r="Z183" s="30" t="n"/>
    </row>
    <row r="184" ht="15.75" customHeight="1" s="134">
      <c r="A184" s="66" t="n"/>
      <c r="B184" s="66" t="n"/>
      <c r="C184" s="66" t="n"/>
      <c r="D184" s="66" t="n"/>
      <c r="E184" s="66" t="n"/>
      <c r="F184" s="66" t="n"/>
      <c r="G184" s="66" t="n"/>
      <c r="H184" s="30" t="n"/>
      <c r="I184" s="30" t="n"/>
      <c r="J184" s="30" t="n"/>
      <c r="K184" s="30" t="n"/>
      <c r="L184" s="30" t="n"/>
      <c r="M184" s="30" t="n"/>
      <c r="N184" s="30" t="n"/>
      <c r="O184" s="30" t="n"/>
      <c r="P184" s="30" t="n"/>
      <c r="Q184" s="30" t="n"/>
      <c r="R184" s="30" t="n"/>
      <c r="S184" s="30" t="n"/>
      <c r="T184" s="30" t="n"/>
      <c r="U184" s="30" t="n"/>
      <c r="V184" s="30" t="n"/>
      <c r="W184" s="30" t="n"/>
      <c r="X184" s="30" t="n"/>
      <c r="Y184" s="30" t="n"/>
      <c r="Z184" s="30" t="n"/>
    </row>
    <row r="185" ht="15.75" customHeight="1" s="134">
      <c r="A185" s="66" t="n"/>
      <c r="B185" s="66" t="n"/>
      <c r="C185" s="66" t="n"/>
      <c r="D185" s="66" t="n"/>
      <c r="E185" s="66" t="n"/>
      <c r="F185" s="66" t="n"/>
      <c r="G185" s="66" t="n"/>
      <c r="H185" s="30" t="n"/>
      <c r="I185" s="30" t="n"/>
      <c r="J185" s="30" t="n"/>
      <c r="K185" s="30" t="n"/>
      <c r="L185" s="30" t="n"/>
      <c r="M185" s="30" t="n"/>
      <c r="N185" s="30" t="n"/>
      <c r="O185" s="30" t="n"/>
      <c r="P185" s="30" t="n"/>
      <c r="Q185" s="30" t="n"/>
      <c r="R185" s="30" t="n"/>
      <c r="S185" s="30" t="n"/>
      <c r="T185" s="30" t="n"/>
      <c r="U185" s="30" t="n"/>
      <c r="V185" s="30" t="n"/>
      <c r="W185" s="30" t="n"/>
      <c r="X185" s="30" t="n"/>
      <c r="Y185" s="30" t="n"/>
      <c r="Z185" s="30" t="n"/>
    </row>
    <row r="186" ht="15.75" customHeight="1" s="134">
      <c r="A186" s="66" t="n"/>
      <c r="B186" s="66" t="n"/>
      <c r="C186" s="66" t="n"/>
      <c r="D186" s="66" t="n"/>
      <c r="E186" s="66" t="n"/>
      <c r="F186" s="66" t="n"/>
      <c r="G186" s="66" t="n"/>
      <c r="H186" s="30" t="n"/>
      <c r="I186" s="30" t="n"/>
      <c r="J186" s="30" t="n"/>
      <c r="K186" s="30" t="n"/>
      <c r="L186" s="30" t="n"/>
      <c r="M186" s="30" t="n"/>
      <c r="N186" s="30" t="n"/>
      <c r="O186" s="30" t="n"/>
      <c r="P186" s="30" t="n"/>
      <c r="Q186" s="30" t="n"/>
      <c r="R186" s="30" t="n"/>
      <c r="S186" s="30" t="n"/>
      <c r="T186" s="30" t="n"/>
      <c r="U186" s="30" t="n"/>
      <c r="V186" s="30" t="n"/>
      <c r="W186" s="30" t="n"/>
      <c r="X186" s="30" t="n"/>
      <c r="Y186" s="30" t="n"/>
      <c r="Z186" s="30" t="n"/>
    </row>
    <row r="187" ht="15.75" customHeight="1" s="134">
      <c r="A187" s="66" t="n"/>
      <c r="B187" s="66" t="n"/>
      <c r="C187" s="66" t="n"/>
      <c r="D187" s="66" t="n"/>
      <c r="E187" s="66" t="n"/>
      <c r="F187" s="66" t="n"/>
      <c r="G187" s="66" t="n"/>
      <c r="H187" s="30" t="n"/>
      <c r="I187" s="30" t="n"/>
      <c r="J187" s="30" t="n"/>
      <c r="K187" s="30" t="n"/>
      <c r="L187" s="30" t="n"/>
      <c r="M187" s="30" t="n"/>
      <c r="N187" s="30" t="n"/>
      <c r="O187" s="30" t="n"/>
      <c r="P187" s="30" t="n"/>
      <c r="Q187" s="30" t="n"/>
      <c r="R187" s="30" t="n"/>
      <c r="S187" s="30" t="n"/>
      <c r="T187" s="30" t="n"/>
      <c r="U187" s="30" t="n"/>
      <c r="V187" s="30" t="n"/>
      <c r="W187" s="30" t="n"/>
      <c r="X187" s="30" t="n"/>
      <c r="Y187" s="30" t="n"/>
      <c r="Z187" s="30" t="n"/>
    </row>
    <row r="188" ht="15.75" customHeight="1" s="134">
      <c r="A188" s="66" t="n"/>
      <c r="B188" s="66" t="n"/>
      <c r="C188" s="66" t="n"/>
      <c r="D188" s="66" t="n"/>
      <c r="E188" s="66" t="n"/>
      <c r="F188" s="66" t="n"/>
      <c r="G188" s="66" t="n"/>
      <c r="H188" s="30" t="n"/>
      <c r="I188" s="30" t="n"/>
      <c r="J188" s="30" t="n"/>
      <c r="K188" s="30" t="n"/>
      <c r="L188" s="30" t="n"/>
      <c r="M188" s="30" t="n"/>
      <c r="N188" s="30" t="n"/>
      <c r="O188" s="30" t="n"/>
      <c r="P188" s="30" t="n"/>
      <c r="Q188" s="30" t="n"/>
      <c r="R188" s="30" t="n"/>
      <c r="S188" s="30" t="n"/>
      <c r="T188" s="30" t="n"/>
      <c r="U188" s="30" t="n"/>
      <c r="V188" s="30" t="n"/>
      <c r="W188" s="30" t="n"/>
      <c r="X188" s="30" t="n"/>
      <c r="Y188" s="30" t="n"/>
      <c r="Z188" s="30" t="n"/>
    </row>
    <row r="189" ht="15.75" customHeight="1" s="134">
      <c r="A189" s="66" t="n"/>
      <c r="B189" s="66" t="n"/>
      <c r="C189" s="66" t="n"/>
      <c r="D189" s="66" t="n"/>
      <c r="E189" s="66" t="n"/>
      <c r="F189" s="66" t="n"/>
      <c r="G189" s="66" t="n"/>
      <c r="H189" s="30" t="n"/>
      <c r="I189" s="30" t="n"/>
      <c r="J189" s="30" t="n"/>
      <c r="K189" s="30" t="n"/>
      <c r="L189" s="30" t="n"/>
      <c r="M189" s="30" t="n"/>
      <c r="N189" s="30" t="n"/>
      <c r="O189" s="30" t="n"/>
      <c r="P189" s="30" t="n"/>
      <c r="Q189" s="30" t="n"/>
      <c r="R189" s="30" t="n"/>
      <c r="S189" s="30" t="n"/>
      <c r="T189" s="30" t="n"/>
      <c r="U189" s="30" t="n"/>
      <c r="V189" s="30" t="n"/>
      <c r="W189" s="30" t="n"/>
      <c r="X189" s="30" t="n"/>
      <c r="Y189" s="30" t="n"/>
      <c r="Z189" s="30" t="n"/>
    </row>
    <row r="190" ht="15.75" customHeight="1" s="134">
      <c r="A190" s="66" t="n"/>
      <c r="B190" s="66" t="n"/>
      <c r="C190" s="66" t="n"/>
      <c r="D190" s="66" t="n"/>
      <c r="E190" s="66" t="n"/>
      <c r="F190" s="66" t="n"/>
      <c r="G190" s="66" t="n"/>
      <c r="H190" s="30" t="n"/>
      <c r="I190" s="30" t="n"/>
      <c r="J190" s="30" t="n"/>
      <c r="K190" s="30" t="n"/>
      <c r="L190" s="30" t="n"/>
      <c r="M190" s="30" t="n"/>
      <c r="N190" s="30" t="n"/>
      <c r="O190" s="30" t="n"/>
      <c r="P190" s="30" t="n"/>
      <c r="Q190" s="30" t="n"/>
      <c r="R190" s="30" t="n"/>
      <c r="S190" s="30" t="n"/>
      <c r="T190" s="30" t="n"/>
      <c r="U190" s="30" t="n"/>
      <c r="V190" s="30" t="n"/>
      <c r="W190" s="30" t="n"/>
      <c r="X190" s="30" t="n"/>
      <c r="Y190" s="30" t="n"/>
      <c r="Z190" s="30" t="n"/>
    </row>
    <row r="191" ht="15.75" customHeight="1" s="134">
      <c r="A191" s="66" t="n"/>
      <c r="B191" s="66" t="n"/>
      <c r="C191" s="66" t="n"/>
      <c r="D191" s="66" t="n"/>
      <c r="E191" s="66" t="n"/>
      <c r="F191" s="66" t="n"/>
      <c r="G191" s="66" t="n"/>
      <c r="H191" s="30" t="n"/>
      <c r="I191" s="30" t="n"/>
      <c r="J191" s="30" t="n"/>
      <c r="K191" s="30" t="n"/>
      <c r="L191" s="30" t="n"/>
      <c r="M191" s="30" t="n"/>
      <c r="N191" s="30" t="n"/>
      <c r="O191" s="30" t="n"/>
      <c r="P191" s="30" t="n"/>
      <c r="Q191" s="30" t="n"/>
      <c r="R191" s="30" t="n"/>
      <c r="S191" s="30" t="n"/>
      <c r="T191" s="30" t="n"/>
      <c r="U191" s="30" t="n"/>
      <c r="V191" s="30" t="n"/>
      <c r="W191" s="30" t="n"/>
      <c r="X191" s="30" t="n"/>
      <c r="Y191" s="30" t="n"/>
      <c r="Z191" s="30" t="n"/>
    </row>
    <row r="192" ht="15.75" customHeight="1" s="134">
      <c r="A192" s="66" t="n"/>
      <c r="B192" s="66" t="n"/>
      <c r="C192" s="66" t="n"/>
      <c r="D192" s="66" t="n"/>
      <c r="E192" s="66" t="n"/>
      <c r="F192" s="66" t="n"/>
      <c r="G192" s="66" t="n"/>
      <c r="H192" s="30" t="n"/>
      <c r="I192" s="30" t="n"/>
      <c r="J192" s="30" t="n"/>
      <c r="K192" s="30" t="n"/>
      <c r="L192" s="30" t="n"/>
      <c r="M192" s="30" t="n"/>
      <c r="N192" s="30" t="n"/>
      <c r="O192" s="30" t="n"/>
      <c r="P192" s="30" t="n"/>
      <c r="Q192" s="30" t="n"/>
      <c r="R192" s="30" t="n"/>
      <c r="S192" s="30" t="n"/>
      <c r="T192" s="30" t="n"/>
      <c r="U192" s="30" t="n"/>
      <c r="V192" s="30" t="n"/>
      <c r="W192" s="30" t="n"/>
      <c r="X192" s="30" t="n"/>
      <c r="Y192" s="30" t="n"/>
      <c r="Z192" s="30" t="n"/>
    </row>
    <row r="193" ht="15.75" customHeight="1" s="134">
      <c r="A193" s="66" t="n"/>
      <c r="B193" s="66" t="n"/>
      <c r="C193" s="66" t="n"/>
      <c r="D193" s="66" t="n"/>
      <c r="E193" s="66" t="n"/>
      <c r="F193" s="66" t="n"/>
      <c r="G193" s="66" t="n"/>
      <c r="H193" s="30" t="n"/>
      <c r="I193" s="30" t="n"/>
      <c r="J193" s="30" t="n"/>
      <c r="K193" s="30" t="n"/>
      <c r="L193" s="30" t="n"/>
      <c r="M193" s="30" t="n"/>
      <c r="N193" s="30" t="n"/>
      <c r="O193" s="30" t="n"/>
      <c r="P193" s="30" t="n"/>
      <c r="Q193" s="30" t="n"/>
      <c r="R193" s="30" t="n"/>
      <c r="S193" s="30" t="n"/>
      <c r="T193" s="30" t="n"/>
      <c r="U193" s="30" t="n"/>
      <c r="V193" s="30" t="n"/>
      <c r="W193" s="30" t="n"/>
      <c r="X193" s="30" t="n"/>
      <c r="Y193" s="30" t="n"/>
      <c r="Z193" s="30" t="n"/>
    </row>
    <row r="194" ht="15.75" customHeight="1" s="134">
      <c r="A194" s="66" t="n"/>
      <c r="B194" s="66" t="n"/>
      <c r="C194" s="66" t="n"/>
      <c r="D194" s="66" t="n"/>
      <c r="E194" s="66" t="n"/>
      <c r="F194" s="66" t="n"/>
      <c r="G194" s="66" t="n"/>
      <c r="H194" s="30" t="n"/>
      <c r="I194" s="30" t="n"/>
      <c r="J194" s="30" t="n"/>
      <c r="K194" s="30" t="n"/>
      <c r="L194" s="30" t="n"/>
      <c r="M194" s="30" t="n"/>
      <c r="N194" s="30" t="n"/>
      <c r="O194" s="30" t="n"/>
      <c r="P194" s="30" t="n"/>
      <c r="Q194" s="30" t="n"/>
      <c r="R194" s="30" t="n"/>
      <c r="S194" s="30" t="n"/>
      <c r="T194" s="30" t="n"/>
      <c r="U194" s="30" t="n"/>
      <c r="V194" s="30" t="n"/>
      <c r="W194" s="30" t="n"/>
      <c r="X194" s="30" t="n"/>
      <c r="Y194" s="30" t="n"/>
      <c r="Z194" s="30" t="n"/>
    </row>
    <row r="195" ht="15.75" customHeight="1" s="134">
      <c r="A195" s="66" t="n"/>
      <c r="B195" s="66" t="n"/>
      <c r="C195" s="66" t="n"/>
      <c r="D195" s="66" t="n"/>
      <c r="E195" s="66" t="n"/>
      <c r="F195" s="66" t="n"/>
      <c r="G195" s="66" t="n"/>
      <c r="H195" s="30" t="n"/>
      <c r="I195" s="30" t="n"/>
      <c r="J195" s="30" t="n"/>
      <c r="K195" s="30" t="n"/>
      <c r="L195" s="30" t="n"/>
      <c r="M195" s="30" t="n"/>
      <c r="N195" s="30" t="n"/>
      <c r="O195" s="30" t="n"/>
      <c r="P195" s="30" t="n"/>
      <c r="Q195" s="30" t="n"/>
      <c r="R195" s="30" t="n"/>
      <c r="S195" s="30" t="n"/>
      <c r="T195" s="30" t="n"/>
      <c r="U195" s="30" t="n"/>
      <c r="V195" s="30" t="n"/>
      <c r="W195" s="30" t="n"/>
      <c r="X195" s="30" t="n"/>
      <c r="Y195" s="30" t="n"/>
      <c r="Z195" s="30" t="n"/>
    </row>
    <row r="196" ht="15.75" customHeight="1" s="134">
      <c r="A196" s="66" t="n"/>
      <c r="B196" s="66" t="n"/>
      <c r="C196" s="66" t="n"/>
      <c r="D196" s="66" t="n"/>
      <c r="E196" s="66" t="n"/>
      <c r="F196" s="66" t="n"/>
      <c r="G196" s="66" t="n"/>
      <c r="H196" s="30" t="n"/>
      <c r="I196" s="30" t="n"/>
      <c r="J196" s="30" t="n"/>
      <c r="K196" s="30" t="n"/>
      <c r="L196" s="30" t="n"/>
      <c r="M196" s="30" t="n"/>
      <c r="N196" s="30" t="n"/>
      <c r="O196" s="30" t="n"/>
      <c r="P196" s="30" t="n"/>
      <c r="Q196" s="30" t="n"/>
      <c r="R196" s="30" t="n"/>
      <c r="S196" s="30" t="n"/>
      <c r="T196" s="30" t="n"/>
      <c r="U196" s="30" t="n"/>
      <c r="V196" s="30" t="n"/>
      <c r="W196" s="30" t="n"/>
      <c r="X196" s="30" t="n"/>
      <c r="Y196" s="30" t="n"/>
      <c r="Z196" s="30" t="n"/>
    </row>
    <row r="197" ht="15.75" customHeight="1" s="134">
      <c r="A197" s="66" t="n"/>
      <c r="B197" s="66" t="n"/>
      <c r="C197" s="66" t="n"/>
      <c r="D197" s="66" t="n"/>
      <c r="E197" s="66" t="n"/>
      <c r="F197" s="66" t="n"/>
      <c r="G197" s="66" t="n"/>
      <c r="H197" s="30" t="n"/>
      <c r="I197" s="30" t="n"/>
      <c r="J197" s="30" t="n"/>
      <c r="K197" s="30" t="n"/>
      <c r="L197" s="30" t="n"/>
      <c r="M197" s="30" t="n"/>
      <c r="N197" s="30" t="n"/>
      <c r="O197" s="30" t="n"/>
      <c r="P197" s="30" t="n"/>
      <c r="Q197" s="30" t="n"/>
      <c r="R197" s="30" t="n"/>
      <c r="S197" s="30" t="n"/>
      <c r="T197" s="30" t="n"/>
      <c r="U197" s="30" t="n"/>
      <c r="V197" s="30" t="n"/>
      <c r="W197" s="30" t="n"/>
      <c r="X197" s="30" t="n"/>
      <c r="Y197" s="30" t="n"/>
      <c r="Z197" s="30" t="n"/>
    </row>
    <row r="198" ht="15.75" customHeight="1" s="134">
      <c r="A198" s="66" t="n"/>
      <c r="B198" s="66" t="n"/>
      <c r="C198" s="66" t="n"/>
      <c r="D198" s="66" t="n"/>
      <c r="E198" s="66" t="n"/>
      <c r="F198" s="66" t="n"/>
      <c r="G198" s="66" t="n"/>
      <c r="H198" s="30" t="n"/>
      <c r="I198" s="30" t="n"/>
      <c r="J198" s="30" t="n"/>
      <c r="K198" s="30" t="n"/>
      <c r="L198" s="30" t="n"/>
      <c r="M198" s="30" t="n"/>
      <c r="N198" s="30" t="n"/>
      <c r="O198" s="30" t="n"/>
      <c r="P198" s="30" t="n"/>
      <c r="Q198" s="30" t="n"/>
      <c r="R198" s="30" t="n"/>
      <c r="S198" s="30" t="n"/>
      <c r="T198" s="30" t="n"/>
      <c r="U198" s="30" t="n"/>
      <c r="V198" s="30" t="n"/>
      <c r="W198" s="30" t="n"/>
      <c r="X198" s="30" t="n"/>
      <c r="Y198" s="30" t="n"/>
      <c r="Z198" s="30" t="n"/>
    </row>
    <row r="199" ht="15.75" customHeight="1" s="134">
      <c r="A199" s="66" t="n"/>
      <c r="B199" s="66" t="n"/>
      <c r="C199" s="66" t="n"/>
      <c r="D199" s="66" t="n"/>
      <c r="E199" s="66" t="n"/>
      <c r="F199" s="66" t="n"/>
      <c r="G199" s="66" t="n"/>
      <c r="H199" s="30" t="n"/>
      <c r="I199" s="30" t="n"/>
      <c r="J199" s="30" t="n"/>
      <c r="K199" s="30" t="n"/>
      <c r="L199" s="30" t="n"/>
      <c r="M199" s="30" t="n"/>
      <c r="N199" s="30" t="n"/>
      <c r="O199" s="30" t="n"/>
      <c r="P199" s="30" t="n"/>
      <c r="Q199" s="30" t="n"/>
      <c r="R199" s="30" t="n"/>
      <c r="S199" s="30" t="n"/>
      <c r="T199" s="30" t="n"/>
      <c r="U199" s="30" t="n"/>
      <c r="V199" s="30" t="n"/>
      <c r="W199" s="30" t="n"/>
      <c r="X199" s="30" t="n"/>
      <c r="Y199" s="30" t="n"/>
      <c r="Z199" s="30" t="n"/>
    </row>
    <row r="200" ht="15.75" customHeight="1" s="134">
      <c r="A200" s="66" t="n"/>
      <c r="B200" s="66" t="n"/>
      <c r="C200" s="66" t="n"/>
      <c r="D200" s="66" t="n"/>
      <c r="E200" s="66" t="n"/>
      <c r="F200" s="66" t="n"/>
      <c r="G200" s="66" t="n"/>
      <c r="H200" s="30" t="n"/>
      <c r="I200" s="30" t="n"/>
      <c r="J200" s="30" t="n"/>
      <c r="K200" s="30" t="n"/>
      <c r="L200" s="30" t="n"/>
      <c r="M200" s="30" t="n"/>
      <c r="N200" s="30" t="n"/>
      <c r="O200" s="30" t="n"/>
      <c r="P200" s="30" t="n"/>
      <c r="Q200" s="30" t="n"/>
      <c r="R200" s="30" t="n"/>
      <c r="S200" s="30" t="n"/>
      <c r="T200" s="30" t="n"/>
      <c r="U200" s="30" t="n"/>
      <c r="V200" s="30" t="n"/>
      <c r="W200" s="30" t="n"/>
      <c r="X200" s="30" t="n"/>
      <c r="Y200" s="30" t="n"/>
      <c r="Z200" s="30" t="n"/>
    </row>
    <row r="201" ht="15.75" customHeight="1" s="134">
      <c r="A201" s="66" t="n"/>
      <c r="B201" s="66" t="n"/>
      <c r="C201" s="66" t="n"/>
      <c r="D201" s="66" t="n"/>
      <c r="E201" s="66" t="n"/>
      <c r="F201" s="66" t="n"/>
      <c r="G201" s="66" t="n"/>
      <c r="H201" s="30" t="n"/>
      <c r="I201" s="30" t="n"/>
      <c r="J201" s="30" t="n"/>
      <c r="K201" s="30" t="n"/>
      <c r="L201" s="30" t="n"/>
      <c r="M201" s="30" t="n"/>
      <c r="N201" s="30" t="n"/>
      <c r="O201" s="30" t="n"/>
      <c r="P201" s="30" t="n"/>
      <c r="Q201" s="30" t="n"/>
      <c r="R201" s="30" t="n"/>
      <c r="S201" s="30" t="n"/>
      <c r="T201" s="30" t="n"/>
      <c r="U201" s="30" t="n"/>
      <c r="V201" s="30" t="n"/>
      <c r="W201" s="30" t="n"/>
      <c r="X201" s="30" t="n"/>
      <c r="Y201" s="30" t="n"/>
      <c r="Z201" s="30" t="n"/>
    </row>
    <row r="202" ht="15.75" customHeight="1" s="134">
      <c r="A202" s="66" t="n"/>
      <c r="B202" s="66" t="n"/>
      <c r="C202" s="66" t="n"/>
      <c r="D202" s="66" t="n"/>
      <c r="E202" s="66" t="n"/>
      <c r="F202" s="66" t="n"/>
      <c r="G202" s="66" t="n"/>
      <c r="H202" s="30" t="n"/>
      <c r="I202" s="30" t="n"/>
      <c r="J202" s="30" t="n"/>
      <c r="K202" s="30" t="n"/>
      <c r="L202" s="30" t="n"/>
      <c r="M202" s="30" t="n"/>
      <c r="N202" s="30" t="n"/>
      <c r="O202" s="30" t="n"/>
      <c r="P202" s="30" t="n"/>
      <c r="Q202" s="30" t="n"/>
      <c r="R202" s="30" t="n"/>
      <c r="S202" s="30" t="n"/>
      <c r="T202" s="30" t="n"/>
      <c r="U202" s="30" t="n"/>
      <c r="V202" s="30" t="n"/>
      <c r="W202" s="30" t="n"/>
      <c r="X202" s="30" t="n"/>
      <c r="Y202" s="30" t="n"/>
      <c r="Z202" s="30" t="n"/>
    </row>
    <row r="203" ht="15.75" customHeight="1" s="134">
      <c r="A203" s="66" t="n"/>
      <c r="B203" s="66" t="n"/>
      <c r="C203" s="66" t="n"/>
      <c r="D203" s="66" t="n"/>
      <c r="E203" s="66" t="n"/>
      <c r="F203" s="66" t="n"/>
      <c r="G203" s="66" t="n"/>
      <c r="H203" s="30" t="n"/>
      <c r="I203" s="30" t="n"/>
      <c r="J203" s="30" t="n"/>
      <c r="K203" s="30" t="n"/>
      <c r="L203" s="30" t="n"/>
      <c r="M203" s="30" t="n"/>
      <c r="N203" s="30" t="n"/>
      <c r="O203" s="30" t="n"/>
      <c r="P203" s="30" t="n"/>
      <c r="Q203" s="30" t="n"/>
      <c r="R203" s="30" t="n"/>
      <c r="S203" s="30" t="n"/>
      <c r="T203" s="30" t="n"/>
      <c r="U203" s="30" t="n"/>
      <c r="V203" s="30" t="n"/>
      <c r="W203" s="30" t="n"/>
      <c r="X203" s="30" t="n"/>
      <c r="Y203" s="30" t="n"/>
      <c r="Z203" s="30" t="n"/>
    </row>
    <row r="204" ht="15.75" customHeight="1" s="134">
      <c r="A204" s="66" t="n"/>
      <c r="B204" s="66" t="n"/>
      <c r="C204" s="66" t="n"/>
      <c r="D204" s="66" t="n"/>
      <c r="E204" s="66" t="n"/>
      <c r="F204" s="66" t="n"/>
      <c r="G204" s="66" t="n"/>
      <c r="H204" s="30" t="n"/>
      <c r="I204" s="30" t="n"/>
      <c r="J204" s="30" t="n"/>
      <c r="K204" s="30" t="n"/>
      <c r="L204" s="30" t="n"/>
      <c r="M204" s="30" t="n"/>
      <c r="N204" s="30" t="n"/>
      <c r="O204" s="30" t="n"/>
      <c r="P204" s="30" t="n"/>
      <c r="Q204" s="30" t="n"/>
      <c r="R204" s="30" t="n"/>
      <c r="S204" s="30" t="n"/>
      <c r="T204" s="30" t="n"/>
      <c r="U204" s="30" t="n"/>
      <c r="V204" s="30" t="n"/>
      <c r="W204" s="30" t="n"/>
      <c r="X204" s="30" t="n"/>
      <c r="Y204" s="30" t="n"/>
      <c r="Z204" s="30" t="n"/>
    </row>
    <row r="205" ht="15.75" customHeight="1" s="134">
      <c r="A205" s="66" t="n"/>
      <c r="B205" s="66" t="n"/>
      <c r="C205" s="66" t="n"/>
      <c r="D205" s="66" t="n"/>
      <c r="E205" s="66" t="n"/>
      <c r="F205" s="66" t="n"/>
      <c r="G205" s="66" t="n"/>
      <c r="H205" s="30" t="n"/>
      <c r="I205" s="30" t="n"/>
      <c r="J205" s="30" t="n"/>
      <c r="K205" s="30" t="n"/>
      <c r="L205" s="30" t="n"/>
      <c r="M205" s="30" t="n"/>
      <c r="N205" s="30" t="n"/>
      <c r="O205" s="30" t="n"/>
      <c r="P205" s="30" t="n"/>
      <c r="Q205" s="30" t="n"/>
      <c r="R205" s="30" t="n"/>
      <c r="S205" s="30" t="n"/>
      <c r="T205" s="30" t="n"/>
      <c r="U205" s="30" t="n"/>
      <c r="V205" s="30" t="n"/>
      <c r="W205" s="30" t="n"/>
      <c r="X205" s="30" t="n"/>
      <c r="Y205" s="30" t="n"/>
      <c r="Z205" s="30" t="n"/>
    </row>
    <row r="206" ht="15.75" customHeight="1" s="134">
      <c r="A206" s="66" t="n"/>
      <c r="B206" s="66" t="n"/>
      <c r="C206" s="66" t="n"/>
      <c r="D206" s="66" t="n"/>
      <c r="E206" s="66" t="n"/>
      <c r="F206" s="66" t="n"/>
      <c r="G206" s="66" t="n"/>
      <c r="H206" s="30" t="n"/>
      <c r="I206" s="30" t="n"/>
      <c r="J206" s="30" t="n"/>
      <c r="K206" s="30" t="n"/>
      <c r="L206" s="30" t="n"/>
      <c r="M206" s="30" t="n"/>
      <c r="N206" s="30" t="n"/>
      <c r="O206" s="30" t="n"/>
      <c r="P206" s="30" t="n"/>
      <c r="Q206" s="30" t="n"/>
      <c r="R206" s="30" t="n"/>
      <c r="S206" s="30" t="n"/>
      <c r="T206" s="30" t="n"/>
      <c r="U206" s="30" t="n"/>
      <c r="V206" s="30" t="n"/>
      <c r="W206" s="30" t="n"/>
      <c r="X206" s="30" t="n"/>
      <c r="Y206" s="30" t="n"/>
      <c r="Z206" s="30" t="n"/>
    </row>
    <row r="207" ht="15.75" customHeight="1" s="134">
      <c r="A207" s="66" t="n"/>
      <c r="B207" s="66" t="n"/>
      <c r="C207" s="66" t="n"/>
      <c r="D207" s="66" t="n"/>
      <c r="E207" s="66" t="n"/>
      <c r="F207" s="66" t="n"/>
      <c r="G207" s="66" t="n"/>
      <c r="H207" s="30" t="n"/>
      <c r="I207" s="30" t="n"/>
      <c r="J207" s="30" t="n"/>
      <c r="K207" s="30" t="n"/>
      <c r="L207" s="30" t="n"/>
      <c r="M207" s="30" t="n"/>
      <c r="N207" s="30" t="n"/>
      <c r="O207" s="30" t="n"/>
      <c r="P207" s="30" t="n"/>
      <c r="Q207" s="30" t="n"/>
      <c r="R207" s="30" t="n"/>
      <c r="S207" s="30" t="n"/>
      <c r="T207" s="30" t="n"/>
      <c r="U207" s="30" t="n"/>
      <c r="V207" s="30" t="n"/>
      <c r="W207" s="30" t="n"/>
      <c r="X207" s="30" t="n"/>
      <c r="Y207" s="30" t="n"/>
      <c r="Z207" s="30" t="n"/>
    </row>
    <row r="208" ht="15.75" customHeight="1" s="134">
      <c r="A208" s="66" t="n"/>
      <c r="B208" s="66" t="n"/>
      <c r="C208" s="66" t="n"/>
      <c r="D208" s="66" t="n"/>
      <c r="E208" s="66" t="n"/>
      <c r="F208" s="66" t="n"/>
      <c r="G208" s="66" t="n"/>
      <c r="H208" s="30" t="n"/>
      <c r="I208" s="30" t="n"/>
      <c r="J208" s="30" t="n"/>
      <c r="K208" s="30" t="n"/>
      <c r="L208" s="30" t="n"/>
      <c r="M208" s="30" t="n"/>
      <c r="N208" s="30" t="n"/>
      <c r="O208" s="30" t="n"/>
      <c r="P208" s="30" t="n"/>
      <c r="Q208" s="30" t="n"/>
      <c r="R208" s="30" t="n"/>
      <c r="S208" s="30" t="n"/>
      <c r="T208" s="30" t="n"/>
      <c r="U208" s="30" t="n"/>
      <c r="V208" s="30" t="n"/>
      <c r="W208" s="30" t="n"/>
      <c r="X208" s="30" t="n"/>
      <c r="Y208" s="30" t="n"/>
      <c r="Z208" s="30" t="n"/>
    </row>
    <row r="209" ht="15.75" customHeight="1" s="134">
      <c r="A209" s="66" t="n"/>
      <c r="B209" s="66" t="n"/>
      <c r="C209" s="66" t="n"/>
      <c r="D209" s="66" t="n"/>
      <c r="E209" s="66" t="n"/>
      <c r="F209" s="66" t="n"/>
      <c r="G209" s="66" t="n"/>
      <c r="H209" s="30" t="n"/>
      <c r="I209" s="30" t="n"/>
      <c r="J209" s="30" t="n"/>
      <c r="K209" s="30" t="n"/>
      <c r="L209" s="30" t="n"/>
      <c r="M209" s="30" t="n"/>
      <c r="N209" s="30" t="n"/>
      <c r="O209" s="30" t="n"/>
      <c r="P209" s="30" t="n"/>
      <c r="Q209" s="30" t="n"/>
      <c r="R209" s="30" t="n"/>
      <c r="S209" s="30" t="n"/>
      <c r="T209" s="30" t="n"/>
      <c r="U209" s="30" t="n"/>
      <c r="V209" s="30" t="n"/>
      <c r="W209" s="30" t="n"/>
      <c r="X209" s="30" t="n"/>
      <c r="Y209" s="30" t="n"/>
      <c r="Z209" s="30" t="n"/>
    </row>
    <row r="210" ht="15.75" customHeight="1" s="134">
      <c r="A210" s="66" t="n"/>
      <c r="B210" s="66" t="n"/>
      <c r="C210" s="66" t="n"/>
      <c r="D210" s="66" t="n"/>
      <c r="E210" s="66" t="n"/>
      <c r="F210" s="66" t="n"/>
      <c r="G210" s="66" t="n"/>
      <c r="H210" s="30" t="n"/>
      <c r="I210" s="30" t="n"/>
      <c r="J210" s="30" t="n"/>
      <c r="K210" s="30" t="n"/>
      <c r="L210" s="30" t="n"/>
      <c r="M210" s="30" t="n"/>
      <c r="N210" s="30" t="n"/>
      <c r="O210" s="30" t="n"/>
      <c r="P210" s="30" t="n"/>
      <c r="Q210" s="30" t="n"/>
      <c r="R210" s="30" t="n"/>
      <c r="S210" s="30" t="n"/>
      <c r="T210" s="30" t="n"/>
      <c r="U210" s="30" t="n"/>
      <c r="V210" s="30" t="n"/>
      <c r="W210" s="30" t="n"/>
      <c r="X210" s="30" t="n"/>
      <c r="Y210" s="30" t="n"/>
      <c r="Z210" s="30" t="n"/>
    </row>
    <row r="211" ht="15.75" customHeight="1" s="134">
      <c r="A211" s="66" t="n"/>
      <c r="B211" s="66" t="n"/>
      <c r="C211" s="66" t="n"/>
      <c r="D211" s="66" t="n"/>
      <c r="E211" s="66" t="n"/>
      <c r="F211" s="66" t="n"/>
      <c r="G211" s="66" t="n"/>
      <c r="H211" s="30" t="n"/>
      <c r="I211" s="30" t="n"/>
      <c r="J211" s="30" t="n"/>
      <c r="K211" s="30" t="n"/>
      <c r="L211" s="30" t="n"/>
      <c r="M211" s="30" t="n"/>
      <c r="N211" s="30" t="n"/>
      <c r="O211" s="30" t="n"/>
      <c r="P211" s="30" t="n"/>
      <c r="Q211" s="30" t="n"/>
      <c r="R211" s="30" t="n"/>
      <c r="S211" s="30" t="n"/>
      <c r="T211" s="30" t="n"/>
      <c r="U211" s="30" t="n"/>
      <c r="V211" s="30" t="n"/>
      <c r="W211" s="30" t="n"/>
      <c r="X211" s="30" t="n"/>
      <c r="Y211" s="30" t="n"/>
      <c r="Z211" s="30" t="n"/>
    </row>
    <row r="212" ht="15.75" customHeight="1" s="134">
      <c r="A212" s="66" t="n"/>
      <c r="B212" s="66" t="n"/>
      <c r="C212" s="66" t="n"/>
      <c r="D212" s="66" t="n"/>
      <c r="E212" s="66" t="n"/>
      <c r="F212" s="66" t="n"/>
      <c r="G212" s="66" t="n"/>
      <c r="H212" s="30" t="n"/>
      <c r="I212" s="30" t="n"/>
      <c r="J212" s="30" t="n"/>
      <c r="K212" s="30" t="n"/>
      <c r="L212" s="30" t="n"/>
      <c r="M212" s="30" t="n"/>
      <c r="N212" s="30" t="n"/>
      <c r="O212" s="30" t="n"/>
      <c r="P212" s="30" t="n"/>
      <c r="Q212" s="30" t="n"/>
      <c r="R212" s="30" t="n"/>
      <c r="S212" s="30" t="n"/>
      <c r="T212" s="30" t="n"/>
      <c r="U212" s="30" t="n"/>
      <c r="V212" s="30" t="n"/>
      <c r="W212" s="30" t="n"/>
      <c r="X212" s="30" t="n"/>
      <c r="Y212" s="30" t="n"/>
      <c r="Z212" s="30" t="n"/>
    </row>
    <row r="213" ht="15.75" customHeight="1" s="134">
      <c r="A213" s="66" t="n"/>
      <c r="B213" s="66" t="n"/>
      <c r="C213" s="66" t="n"/>
      <c r="D213" s="66" t="n"/>
      <c r="E213" s="66" t="n"/>
      <c r="F213" s="66" t="n"/>
      <c r="G213" s="66" t="n"/>
      <c r="H213" s="30" t="n"/>
      <c r="I213" s="30" t="n"/>
      <c r="J213" s="30" t="n"/>
      <c r="K213" s="30" t="n"/>
      <c r="L213" s="30" t="n"/>
      <c r="M213" s="30" t="n"/>
      <c r="N213" s="30" t="n"/>
      <c r="O213" s="30" t="n"/>
      <c r="P213" s="30" t="n"/>
      <c r="Q213" s="30" t="n"/>
      <c r="R213" s="30" t="n"/>
      <c r="S213" s="30" t="n"/>
      <c r="T213" s="30" t="n"/>
      <c r="U213" s="30" t="n"/>
      <c r="V213" s="30" t="n"/>
      <c r="W213" s="30" t="n"/>
      <c r="X213" s="30" t="n"/>
      <c r="Y213" s="30" t="n"/>
      <c r="Z213" s="30" t="n"/>
    </row>
    <row r="214" ht="15.75" customHeight="1" s="134">
      <c r="A214" s="66" t="n"/>
      <c r="B214" s="66" t="n"/>
      <c r="C214" s="66" t="n"/>
      <c r="D214" s="66" t="n"/>
      <c r="E214" s="66" t="n"/>
      <c r="F214" s="66" t="n"/>
      <c r="G214" s="66" t="n"/>
      <c r="H214" s="30" t="n"/>
      <c r="I214" s="30" t="n"/>
      <c r="J214" s="30" t="n"/>
      <c r="K214" s="30" t="n"/>
      <c r="L214" s="30" t="n"/>
      <c r="M214" s="30" t="n"/>
      <c r="N214" s="30" t="n"/>
      <c r="O214" s="30" t="n"/>
      <c r="P214" s="30" t="n"/>
      <c r="Q214" s="30" t="n"/>
      <c r="R214" s="30" t="n"/>
      <c r="S214" s="30" t="n"/>
      <c r="T214" s="30" t="n"/>
      <c r="U214" s="30" t="n"/>
      <c r="V214" s="30" t="n"/>
      <c r="W214" s="30" t="n"/>
      <c r="X214" s="30" t="n"/>
      <c r="Y214" s="30" t="n"/>
      <c r="Z214" s="30" t="n"/>
    </row>
    <row r="215" ht="15.75" customHeight="1" s="134">
      <c r="A215" s="66" t="n"/>
      <c r="B215" s="66" t="n"/>
      <c r="C215" s="66" t="n"/>
      <c r="D215" s="66" t="n"/>
      <c r="E215" s="66" t="n"/>
      <c r="F215" s="66" t="n"/>
      <c r="G215" s="66" t="n"/>
      <c r="H215" s="30" t="n"/>
      <c r="I215" s="30" t="n"/>
      <c r="J215" s="30" t="n"/>
      <c r="K215" s="30" t="n"/>
      <c r="L215" s="30" t="n"/>
      <c r="M215" s="30" t="n"/>
      <c r="N215" s="30" t="n"/>
      <c r="O215" s="30" t="n"/>
      <c r="P215" s="30" t="n"/>
      <c r="Q215" s="30" t="n"/>
      <c r="R215" s="30" t="n"/>
      <c r="S215" s="30" t="n"/>
      <c r="T215" s="30" t="n"/>
      <c r="U215" s="30" t="n"/>
      <c r="V215" s="30" t="n"/>
      <c r="W215" s="30" t="n"/>
      <c r="X215" s="30" t="n"/>
      <c r="Y215" s="30" t="n"/>
      <c r="Z215" s="30" t="n"/>
    </row>
    <row r="216" ht="15.75" customHeight="1" s="134">
      <c r="A216" s="66" t="n"/>
      <c r="B216" s="66" t="n"/>
      <c r="C216" s="66" t="n"/>
      <c r="D216" s="66" t="n"/>
      <c r="E216" s="66" t="n"/>
      <c r="F216" s="66" t="n"/>
      <c r="G216" s="66" t="n"/>
      <c r="H216" s="30" t="n"/>
      <c r="I216" s="30" t="n"/>
      <c r="J216" s="30" t="n"/>
      <c r="K216" s="30" t="n"/>
      <c r="L216" s="30" t="n"/>
      <c r="M216" s="30" t="n"/>
      <c r="N216" s="30" t="n"/>
      <c r="O216" s="30" t="n"/>
      <c r="P216" s="30" t="n"/>
      <c r="Q216" s="30" t="n"/>
      <c r="R216" s="30" t="n"/>
      <c r="S216" s="30" t="n"/>
      <c r="T216" s="30" t="n"/>
      <c r="U216" s="30" t="n"/>
      <c r="V216" s="30" t="n"/>
      <c r="W216" s="30" t="n"/>
      <c r="X216" s="30" t="n"/>
      <c r="Y216" s="30" t="n"/>
      <c r="Z216" s="30" t="n"/>
    </row>
    <row r="217" ht="15.75" customHeight="1" s="134">
      <c r="A217" s="66" t="n"/>
      <c r="B217" s="66" t="n"/>
      <c r="C217" s="66" t="n"/>
      <c r="D217" s="66" t="n"/>
      <c r="E217" s="66" t="n"/>
      <c r="F217" s="66" t="n"/>
      <c r="G217" s="66" t="n"/>
      <c r="H217" s="30" t="n"/>
      <c r="I217" s="30" t="n"/>
      <c r="J217" s="30" t="n"/>
      <c r="K217" s="30" t="n"/>
      <c r="L217" s="30" t="n"/>
      <c r="M217" s="30" t="n"/>
      <c r="N217" s="30" t="n"/>
      <c r="O217" s="30" t="n"/>
      <c r="P217" s="30" t="n"/>
      <c r="Q217" s="30" t="n"/>
      <c r="R217" s="30" t="n"/>
      <c r="S217" s="30" t="n"/>
      <c r="T217" s="30" t="n"/>
      <c r="U217" s="30" t="n"/>
      <c r="V217" s="30" t="n"/>
      <c r="W217" s="30" t="n"/>
      <c r="X217" s="30" t="n"/>
      <c r="Y217" s="30" t="n"/>
      <c r="Z217" s="30" t="n"/>
    </row>
    <row r="218" ht="15.75" customHeight="1" s="134">
      <c r="A218" s="66" t="n"/>
      <c r="B218" s="66" t="n"/>
      <c r="C218" s="66" t="n"/>
      <c r="D218" s="66" t="n"/>
      <c r="E218" s="66" t="n"/>
      <c r="F218" s="66" t="n"/>
      <c r="G218" s="66" t="n"/>
      <c r="H218" s="30" t="n"/>
      <c r="I218" s="30" t="n"/>
      <c r="J218" s="30" t="n"/>
      <c r="K218" s="30" t="n"/>
      <c r="L218" s="30" t="n"/>
      <c r="M218" s="30" t="n"/>
      <c r="N218" s="30" t="n"/>
      <c r="O218" s="30" t="n"/>
      <c r="P218" s="30" t="n"/>
      <c r="Q218" s="30" t="n"/>
      <c r="R218" s="30" t="n"/>
      <c r="S218" s="30" t="n"/>
      <c r="T218" s="30" t="n"/>
      <c r="U218" s="30" t="n"/>
      <c r="V218" s="30" t="n"/>
      <c r="W218" s="30" t="n"/>
      <c r="X218" s="30" t="n"/>
      <c r="Y218" s="30" t="n"/>
      <c r="Z218" s="30" t="n"/>
    </row>
    <row r="219" ht="15.75" customHeight="1" s="134">
      <c r="A219" s="66" t="n"/>
      <c r="B219" s="66" t="n"/>
      <c r="C219" s="66" t="n"/>
      <c r="D219" s="66" t="n"/>
      <c r="E219" s="66" t="n"/>
      <c r="F219" s="66" t="n"/>
      <c r="G219" s="66" t="n"/>
      <c r="H219" s="30" t="n"/>
      <c r="I219" s="30" t="n"/>
      <c r="J219" s="30" t="n"/>
      <c r="K219" s="30" t="n"/>
      <c r="L219" s="30" t="n"/>
      <c r="M219" s="30" t="n"/>
      <c r="N219" s="30" t="n"/>
      <c r="O219" s="30" t="n"/>
      <c r="P219" s="30" t="n"/>
      <c r="Q219" s="30" t="n"/>
      <c r="R219" s="30" t="n"/>
      <c r="S219" s="30" t="n"/>
      <c r="T219" s="30" t="n"/>
      <c r="U219" s="30" t="n"/>
      <c r="V219" s="30" t="n"/>
      <c r="W219" s="30" t="n"/>
      <c r="X219" s="30" t="n"/>
      <c r="Y219" s="30" t="n"/>
      <c r="Z219" s="30" t="n"/>
    </row>
    <row r="220" ht="15.75" customHeight="1" s="134">
      <c r="A220" s="66" t="n"/>
      <c r="B220" s="66" t="n"/>
      <c r="C220" s="66" t="n"/>
      <c r="D220" s="66" t="n"/>
      <c r="E220" s="66" t="n"/>
      <c r="F220" s="66" t="n"/>
      <c r="G220" s="66" t="n"/>
      <c r="H220" s="30" t="n"/>
      <c r="I220" s="30" t="n"/>
      <c r="J220" s="30" t="n"/>
      <c r="K220" s="30" t="n"/>
      <c r="L220" s="30" t="n"/>
      <c r="M220" s="30" t="n"/>
      <c r="N220" s="30" t="n"/>
      <c r="O220" s="30" t="n"/>
      <c r="P220" s="30" t="n"/>
      <c r="Q220" s="30" t="n"/>
      <c r="R220" s="30" t="n"/>
      <c r="S220" s="30" t="n"/>
      <c r="T220" s="30" t="n"/>
      <c r="U220" s="30" t="n"/>
      <c r="V220" s="30" t="n"/>
      <c r="W220" s="30" t="n"/>
      <c r="X220" s="30" t="n"/>
      <c r="Y220" s="30" t="n"/>
      <c r="Z220" s="30" t="n"/>
    </row>
    <row r="221" ht="15.75" customHeight="1" s="134">
      <c r="A221" s="66" t="n"/>
      <c r="B221" s="66" t="n"/>
      <c r="C221" s="66" t="n"/>
      <c r="D221" s="66" t="n"/>
      <c r="E221" s="66" t="n"/>
      <c r="F221" s="66" t="n"/>
      <c r="G221" s="66" t="n"/>
      <c r="H221" s="30" t="n"/>
      <c r="I221" s="30" t="n"/>
      <c r="J221" s="30" t="n"/>
      <c r="K221" s="30" t="n"/>
      <c r="L221" s="30" t="n"/>
      <c r="M221" s="30" t="n"/>
      <c r="N221" s="30" t="n"/>
      <c r="O221" s="30" t="n"/>
      <c r="P221" s="30" t="n"/>
      <c r="Q221" s="30" t="n"/>
      <c r="R221" s="30" t="n"/>
      <c r="S221" s="30" t="n"/>
      <c r="T221" s="30" t="n"/>
      <c r="U221" s="30" t="n"/>
      <c r="V221" s="30" t="n"/>
      <c r="W221" s="30" t="n"/>
      <c r="X221" s="30" t="n"/>
      <c r="Y221" s="30" t="n"/>
      <c r="Z221" s="30" t="n"/>
    </row>
    <row r="222" ht="15.75" customHeight="1" s="134">
      <c r="A222" s="66" t="n"/>
      <c r="B222" s="66" t="n"/>
      <c r="C222" s="66" t="n"/>
      <c r="D222" s="66" t="n"/>
      <c r="E222" s="66" t="n"/>
      <c r="F222" s="66" t="n"/>
      <c r="G222" s="66" t="n"/>
      <c r="H222" s="30" t="n"/>
      <c r="I222" s="30" t="n"/>
      <c r="J222" s="30" t="n"/>
      <c r="K222" s="30" t="n"/>
      <c r="L222" s="30" t="n"/>
      <c r="M222" s="30" t="n"/>
      <c r="N222" s="30" t="n"/>
      <c r="O222" s="30" t="n"/>
      <c r="P222" s="30" t="n"/>
      <c r="Q222" s="30" t="n"/>
      <c r="R222" s="30" t="n"/>
      <c r="S222" s="30" t="n"/>
      <c r="T222" s="30" t="n"/>
      <c r="U222" s="30" t="n"/>
      <c r="V222" s="30" t="n"/>
      <c r="W222" s="30" t="n"/>
      <c r="X222" s="30" t="n"/>
      <c r="Y222" s="30" t="n"/>
      <c r="Z222" s="30" t="n"/>
    </row>
    <row r="223" ht="15.75" customHeight="1" s="134">
      <c r="A223" s="66" t="n"/>
      <c r="B223" s="66" t="n"/>
      <c r="C223" s="66" t="n"/>
      <c r="D223" s="66" t="n"/>
      <c r="E223" s="66" t="n"/>
      <c r="F223" s="66" t="n"/>
      <c r="G223" s="66" t="n"/>
      <c r="H223" s="30" t="n"/>
      <c r="I223" s="30" t="n"/>
      <c r="J223" s="30" t="n"/>
      <c r="K223" s="30" t="n"/>
      <c r="L223" s="30" t="n"/>
      <c r="M223" s="30" t="n"/>
      <c r="N223" s="30" t="n"/>
      <c r="O223" s="30" t="n"/>
      <c r="P223" s="30" t="n"/>
      <c r="Q223" s="30" t="n"/>
      <c r="R223" s="30" t="n"/>
      <c r="S223" s="30" t="n"/>
      <c r="T223" s="30" t="n"/>
      <c r="U223" s="30" t="n"/>
      <c r="V223" s="30" t="n"/>
      <c r="W223" s="30" t="n"/>
      <c r="X223" s="30" t="n"/>
      <c r="Y223" s="30" t="n"/>
      <c r="Z223" s="30" t="n"/>
    </row>
    <row r="224" ht="15.75" customHeight="1" s="134">
      <c r="A224" s="66" t="n"/>
      <c r="B224" s="66" t="n"/>
      <c r="C224" s="66" t="n"/>
      <c r="D224" s="66" t="n"/>
      <c r="E224" s="66" t="n"/>
      <c r="F224" s="66" t="n"/>
      <c r="G224" s="66" t="n"/>
      <c r="H224" s="30" t="n"/>
      <c r="I224" s="30" t="n"/>
      <c r="J224" s="30" t="n"/>
      <c r="K224" s="30" t="n"/>
      <c r="L224" s="30" t="n"/>
      <c r="M224" s="30" t="n"/>
      <c r="N224" s="30" t="n"/>
      <c r="O224" s="30" t="n"/>
      <c r="P224" s="30" t="n"/>
      <c r="Q224" s="30" t="n"/>
      <c r="R224" s="30" t="n"/>
      <c r="S224" s="30" t="n"/>
      <c r="T224" s="30" t="n"/>
      <c r="U224" s="30" t="n"/>
      <c r="V224" s="30" t="n"/>
      <c r="W224" s="30" t="n"/>
      <c r="X224" s="30" t="n"/>
      <c r="Y224" s="30" t="n"/>
      <c r="Z224" s="30" t="n"/>
    </row>
    <row r="225" ht="15.75" customHeight="1" s="134">
      <c r="A225" s="66" t="n"/>
      <c r="B225" s="66" t="n"/>
      <c r="C225" s="66" t="n"/>
      <c r="D225" s="66" t="n"/>
      <c r="E225" s="66" t="n"/>
      <c r="F225" s="66" t="n"/>
      <c r="G225" s="66" t="n"/>
      <c r="H225" s="30" t="n"/>
      <c r="I225" s="30" t="n"/>
      <c r="J225" s="30" t="n"/>
      <c r="K225" s="30" t="n"/>
      <c r="L225" s="30" t="n"/>
      <c r="M225" s="30" t="n"/>
      <c r="N225" s="30" t="n"/>
      <c r="O225" s="30" t="n"/>
      <c r="P225" s="30" t="n"/>
      <c r="Q225" s="30" t="n"/>
      <c r="R225" s="30" t="n"/>
      <c r="S225" s="30" t="n"/>
      <c r="T225" s="30" t="n"/>
      <c r="U225" s="30" t="n"/>
      <c r="V225" s="30" t="n"/>
      <c r="W225" s="30" t="n"/>
      <c r="X225" s="30" t="n"/>
      <c r="Y225" s="30" t="n"/>
      <c r="Z225" s="30" t="n"/>
    </row>
    <row r="226" ht="15.75" customHeight="1" s="134">
      <c r="A226" s="66" t="n"/>
      <c r="B226" s="66" t="n"/>
      <c r="C226" s="66" t="n"/>
      <c r="D226" s="66" t="n"/>
      <c r="E226" s="66" t="n"/>
      <c r="F226" s="66" t="n"/>
      <c r="G226" s="66" t="n"/>
      <c r="H226" s="30" t="n"/>
      <c r="I226" s="30" t="n"/>
      <c r="J226" s="30" t="n"/>
      <c r="K226" s="30" t="n"/>
      <c r="L226" s="30" t="n"/>
      <c r="M226" s="30" t="n"/>
      <c r="N226" s="30" t="n"/>
      <c r="O226" s="30" t="n"/>
      <c r="P226" s="30" t="n"/>
      <c r="Q226" s="30" t="n"/>
      <c r="R226" s="30" t="n"/>
      <c r="S226" s="30" t="n"/>
      <c r="T226" s="30" t="n"/>
      <c r="U226" s="30" t="n"/>
      <c r="V226" s="30" t="n"/>
      <c r="W226" s="30" t="n"/>
      <c r="X226" s="30" t="n"/>
      <c r="Y226" s="30" t="n"/>
      <c r="Z226" s="30" t="n"/>
    </row>
    <row r="227" ht="15.75" customHeight="1" s="134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34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34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34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34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34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34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34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34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34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34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34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34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34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34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34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3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34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34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34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34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34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34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34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34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34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3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34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34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34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34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34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34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34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34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34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3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34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34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34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34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34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34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34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34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34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3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34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34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34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34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34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34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34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34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34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3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34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34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34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34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34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34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34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34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34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3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34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34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34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34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34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34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34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34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34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3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34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34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34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34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34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34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34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34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34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3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34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34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34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34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34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34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34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34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34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3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34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34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34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34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34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34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34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34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34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34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34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34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34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34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34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34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34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34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3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34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34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34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34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34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34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34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34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34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3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34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34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34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34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34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34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34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34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34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3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34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34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34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34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34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34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34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34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34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3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34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34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34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34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34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34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34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34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34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3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34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34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34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34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34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34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34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34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34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3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34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34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34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34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34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34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34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34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34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3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34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34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34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34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34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34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34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34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34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3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34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34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34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34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34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34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34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34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34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3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34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34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34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34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34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34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34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34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34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34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34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34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34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34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34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34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34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34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3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34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34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34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34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34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34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34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34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34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3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34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34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34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34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34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34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34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34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34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3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34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34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34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34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34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34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34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34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34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3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34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34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34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34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34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34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34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34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34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3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34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34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34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34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34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34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34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34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34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3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34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34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34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34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34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34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34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34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34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3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34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34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34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34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34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34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34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34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34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3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34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34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34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34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34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34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34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34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34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3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34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34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34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34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34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34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34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34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34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34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34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34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34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34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34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34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34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34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3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34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34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34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34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34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34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34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34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34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3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34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34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34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34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34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34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34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34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34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3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34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34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34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34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34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34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34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34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34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3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34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34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34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34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34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34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34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34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34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3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34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34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34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34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34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34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34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34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34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3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34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34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34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34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34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34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34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34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34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3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34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34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34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34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34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34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34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34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34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3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34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34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34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34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34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34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34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34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34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3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34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34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34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34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34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34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34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34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34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34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34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34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34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34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34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34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34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34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3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34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34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34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34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34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34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34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34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34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3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34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34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34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34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34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34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34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34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34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3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34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34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34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34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34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34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34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34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34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3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34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34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34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34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34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34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34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34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34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3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34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34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34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34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34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34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34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34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34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3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34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34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34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34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34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34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34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34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34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3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34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34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34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34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34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34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34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34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34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3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34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34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34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34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34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34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34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34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34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3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34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34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34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34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34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34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34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34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34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34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34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34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34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34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34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34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34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34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3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34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34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34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34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34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34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34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34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34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3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34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34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34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34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34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34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34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34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34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3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34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34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34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34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34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34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34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34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34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3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34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34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34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34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34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34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34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34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34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3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34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34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34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34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34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34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34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34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34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3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34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34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34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34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34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34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34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34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34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3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34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34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34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34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34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34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34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34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34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3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34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34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34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34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34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34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34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34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34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3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34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34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34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34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34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34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34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34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34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34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34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34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34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34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34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34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34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34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3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34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34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34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34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34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34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34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34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34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3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34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34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34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34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34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34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34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34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34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3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34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34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34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34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34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34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34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34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34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3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34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34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34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34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34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34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34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34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34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3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34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34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34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34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34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34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34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34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34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3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34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34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34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34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34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34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34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34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34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3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34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34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34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34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34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34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34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34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34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3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34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34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34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34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34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34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34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34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34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3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34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34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34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34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34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34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34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34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34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34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34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34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34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34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34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34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34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34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3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34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34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34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34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34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34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34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34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34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3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34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34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34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34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34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34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34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34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34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3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34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34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34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34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34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34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34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34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34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3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34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34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34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34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34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34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34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34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34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3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34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34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34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34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34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34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34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34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34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3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34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34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34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34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34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34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A8:G8"/>
    <mergeCell ref="A26:G26"/>
    <mergeCell ref="A1:G1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 outlineLevelRow="1"/>
  <cols>
    <col width="22" customWidth="1" style="134" min="1" max="1"/>
    <col width="100" customWidth="1" style="134" min="2" max="2"/>
    <col width="8.710000000000001" customWidth="1" style="134" min="3" max="6"/>
  </cols>
  <sheetData>
    <row r="1">
      <c r="A1" s="1" t="inlineStr">
        <is>
          <t>Закупка косметики на продажу — открытый методологический вопрос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60" customHeight="1" s="134">
      <c r="A3" s="11" t="inlineStr">
        <is>
          <t>Проблема</t>
        </is>
      </c>
      <c r="B3" s="133" t="inlineStr">
        <is>
          <t>Сейчас в П&amp;Л закупка списывается целиком в месяц оплаты поставщику, но это запас на несколько месяцев продаж вперёд — из-за этого П&amp;Л скачет (март/июнь/июль искажены разовыми крупными закупками).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60" customHeight="1" s="134">
      <c r="A5" s="11" t="inlineStr">
        <is>
          <t>Что я сделала для модели</t>
        </is>
      </c>
      <c r="B5" s="133" t="inlineStr">
        <is>
          <t>Взяла ИТОГО закупок янв-авг (1 075 507 ₽) / 8 месяцев = 134 438 ₽/мес как сглаженную оценку — это ВРЕМЕННОЕ решение для прогноза, не бухгалтерская правильная амортизация.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60" customHeight="1" s="134">
      <c r="A7" s="11" t="inlineStr">
        <is>
          <t>Как сделать правильно</t>
        </is>
      </c>
      <c r="B7" s="133" t="inlineStr">
        <is>
          <t>Нужно знать остатки товара на складе на конец каждого месяца (у меня есть текущий снимок остатков в дашборде ЭЛАМИ, но не исторический по месяцам) — тогда можно считать реальный расход = закупки + начальный остаток − конечный остаток, а не по факту оплаты поставщику.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60" customHeight="1" s="134">
      <c r="A9" s="11" t="inlineStr">
        <is>
          <t>Что нужно от тебя</t>
        </is>
      </c>
      <c r="B9" s="133" t="inlineStr">
        <is>
          <t>Скажи: (а) устраивает ли сглаживание по среднему как временное решение, (б) можно ли начать фиксировать остатки на конец каждого месяца, чтобы перейти на правильный метод.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34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34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34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3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34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34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34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34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34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34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34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34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34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34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34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34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34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34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34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34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34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34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3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34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34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34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34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34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34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34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34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34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3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34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34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34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34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34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34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34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34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34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3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34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34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34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34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34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34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34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34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34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3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34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34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34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34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34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34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34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34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34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3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34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34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34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34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34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34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34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34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34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3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34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34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34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34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34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34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34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34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34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3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34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34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34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34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34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34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34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34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34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3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34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34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34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34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34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34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34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34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34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3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34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34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34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34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34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34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34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34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34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34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34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34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34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34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34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34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34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34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3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34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34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34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34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34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34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34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34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34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3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34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34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34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34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34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34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34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34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34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3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34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34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34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34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34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34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34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34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34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3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34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34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34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34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34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34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34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34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34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3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34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34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34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34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34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34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34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34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34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3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34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34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34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34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34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34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34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34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34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3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34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34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34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34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34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34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34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34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34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3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34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34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34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34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34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34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34">
      <c r="A221" s="2" t="n"/>
      <c r="B221" s="2" t="n"/>
      <c r="C221" s="2" t="n"/>
      <c r="D221" s="2" t="n"/>
      <c r="E221" s="2" t="n"/>
      <c r="F221" s="2" t="n"/>
    </row>
    <row r="222" ht="15.75" customHeight="1" s="134">
      <c r="A222" s="2" t="n"/>
      <c r="B222" s="2" t="n"/>
      <c r="C222" s="2" t="n"/>
      <c r="D222" s="2" t="n"/>
      <c r="E222" s="2" t="n"/>
      <c r="F222" s="2" t="n"/>
    </row>
    <row r="223" ht="15.75" customHeight="1" s="134">
      <c r="A223" s="2" t="n"/>
      <c r="B223" s="2" t="n"/>
      <c r="C223" s="2" t="n"/>
      <c r="D223" s="2" t="n"/>
      <c r="E223" s="2" t="n"/>
      <c r="F223" s="2" t="n"/>
    </row>
    <row r="224" ht="15.75" customHeight="1" s="134">
      <c r="A224" s="2" t="n"/>
      <c r="B224" s="2" t="n"/>
      <c r="C224" s="2" t="n"/>
      <c r="D224" s="2" t="n"/>
      <c r="E224" s="2" t="n"/>
      <c r="F224" s="2" t="n"/>
    </row>
    <row r="225" ht="15.75" customHeight="1" s="134">
      <c r="A225" s="2" t="n"/>
      <c r="B225" s="2" t="n"/>
      <c r="C225" s="2" t="n"/>
      <c r="D225" s="2" t="n"/>
      <c r="E225" s="2" t="n"/>
      <c r="F225" s="2" t="n"/>
    </row>
    <row r="226" ht="15.75" customHeight="1" s="134">
      <c r="A226" s="2" t="n"/>
      <c r="B226" s="2" t="n"/>
      <c r="C226" s="2" t="n"/>
      <c r="D226" s="2" t="n"/>
      <c r="E226" s="2" t="n"/>
      <c r="F226" s="2" t="n"/>
    </row>
    <row r="227" ht="15.75" customHeight="1" s="134">
      <c r="A227" s="2" t="n"/>
      <c r="B227" s="2" t="n"/>
      <c r="C227" s="2" t="n"/>
      <c r="D227" s="2" t="n"/>
      <c r="E227" s="2" t="n"/>
      <c r="F227" s="2" t="n"/>
    </row>
    <row r="228" ht="15.75" customHeight="1" s="134">
      <c r="A228" s="2" t="n"/>
      <c r="B228" s="2" t="n"/>
      <c r="C228" s="2" t="n"/>
      <c r="D228" s="2" t="n"/>
      <c r="E228" s="2" t="n"/>
      <c r="F228" s="2" t="n"/>
    </row>
    <row r="229" ht="15.75" customHeight="1" s="134">
      <c r="A229" s="2" t="n"/>
      <c r="B229" s="2" t="n"/>
      <c r="C229" s="2" t="n"/>
      <c r="D229" s="2" t="n"/>
      <c r="E229" s="2" t="n"/>
      <c r="F229" s="2" t="n"/>
    </row>
    <row r="230" ht="15.75" customHeight="1" s="134">
      <c r="A230" s="2" t="n"/>
      <c r="B230" s="2" t="n"/>
      <c r="C230" s="2" t="n"/>
      <c r="D230" s="2" t="n"/>
      <c r="E230" s="2" t="n"/>
      <c r="F230" s="2" t="n"/>
    </row>
    <row r="231" ht="15.75" customHeight="1" s="134">
      <c r="A231" s="2" t="n"/>
      <c r="B231" s="2" t="n"/>
      <c r="C231" s="2" t="n"/>
      <c r="D231" s="2" t="n"/>
      <c r="E231" s="2" t="n"/>
      <c r="F231" s="2" t="n"/>
    </row>
    <row r="232" ht="15.75" customHeight="1" s="134">
      <c r="A232" s="2" t="n"/>
      <c r="B232" s="2" t="n"/>
      <c r="C232" s="2" t="n"/>
      <c r="D232" s="2" t="n"/>
      <c r="E232" s="2" t="n"/>
      <c r="F232" s="2" t="n"/>
    </row>
    <row r="233" ht="15.75" customHeight="1" s="134">
      <c r="A233" s="2" t="n"/>
      <c r="B233" s="2" t="n"/>
      <c r="C233" s="2" t="n"/>
      <c r="D233" s="2" t="n"/>
      <c r="E233" s="2" t="n"/>
      <c r="F233" s="2" t="n"/>
    </row>
    <row r="234" ht="15.75" customHeight="1" s="134">
      <c r="A234" s="2" t="n"/>
      <c r="B234" s="2" t="n"/>
      <c r="C234" s="2" t="n"/>
      <c r="D234" s="2" t="n"/>
      <c r="E234" s="2" t="n"/>
      <c r="F234" s="2" t="n"/>
    </row>
    <row r="235" ht="15.75" customHeight="1" s="134">
      <c r="A235" s="2" t="n"/>
      <c r="B235" s="2" t="n"/>
      <c r="C235" s="2" t="n"/>
      <c r="D235" s="2" t="n"/>
      <c r="E235" s="2" t="n"/>
      <c r="F235" s="2" t="n"/>
    </row>
    <row r="236" ht="15.75" customHeight="1" s="134">
      <c r="A236" s="2" t="n"/>
      <c r="B236" s="2" t="n"/>
      <c r="C236" s="2" t="n"/>
      <c r="D236" s="2" t="n"/>
      <c r="E236" s="2" t="n"/>
      <c r="F236" s="2" t="n"/>
    </row>
    <row r="237" ht="15.75" customHeight="1" s="134">
      <c r="A237" s="2" t="n"/>
      <c r="B237" s="2" t="n"/>
      <c r="C237" s="2" t="n"/>
      <c r="D237" s="2" t="n"/>
      <c r="E237" s="2" t="n"/>
      <c r="F237" s="2" t="n"/>
    </row>
    <row r="238" ht="15.75" customHeight="1" s="134">
      <c r="A238" s="2" t="n"/>
      <c r="B238" s="2" t="n"/>
      <c r="C238" s="2" t="n"/>
      <c r="D238" s="2" t="n"/>
      <c r="E238" s="2" t="n"/>
      <c r="F238" s="2" t="n"/>
    </row>
    <row r="239" ht="15.75" customHeight="1" s="134">
      <c r="A239" s="2" t="n"/>
      <c r="B239" s="2" t="n"/>
      <c r="C239" s="2" t="n"/>
      <c r="D239" s="2" t="n"/>
      <c r="E239" s="2" t="n"/>
      <c r="F239" s="2" t="n"/>
    </row>
    <row r="240" ht="15.75" customHeight="1" s="134">
      <c r="A240" s="2" t="n"/>
      <c r="B240" s="2" t="n"/>
      <c r="C240" s="2" t="n"/>
      <c r="D240" s="2" t="n"/>
      <c r="E240" s="2" t="n"/>
      <c r="F240" s="2" t="n"/>
    </row>
    <row r="241" ht="15.75" customHeight="1" s="134">
      <c r="A241" s="2" t="n"/>
      <c r="B241" s="2" t="n"/>
      <c r="C241" s="2" t="n"/>
      <c r="D241" s="2" t="n"/>
      <c r="E241" s="2" t="n"/>
      <c r="F241" s="2" t="n"/>
    </row>
    <row r="242" ht="15.75" customHeight="1" s="134">
      <c r="A242" s="2" t="n"/>
      <c r="B242" s="2" t="n"/>
      <c r="C242" s="2" t="n"/>
      <c r="D242" s="2" t="n"/>
      <c r="E242" s="2" t="n"/>
      <c r="F242" s="2" t="n"/>
    </row>
    <row r="243" ht="15.75" customHeight="1" s="134">
      <c r="A243" s="2" t="n"/>
      <c r="B243" s="2" t="n"/>
      <c r="C243" s="2" t="n"/>
      <c r="D243" s="2" t="n"/>
      <c r="E243" s="2" t="n"/>
      <c r="F243" s="2" t="n"/>
    </row>
    <row r="244" ht="15.75" customHeight="1" s="134">
      <c r="A244" s="2" t="n"/>
      <c r="B244" s="2" t="n"/>
      <c r="C244" s="2" t="n"/>
      <c r="D244" s="2" t="n"/>
      <c r="E244" s="2" t="n"/>
      <c r="F244" s="2" t="n"/>
    </row>
    <row r="245" ht="15.75" customHeight="1" s="134">
      <c r="A245" s="2" t="n"/>
      <c r="B245" s="2" t="n"/>
      <c r="C245" s="2" t="n"/>
      <c r="D245" s="2" t="n"/>
      <c r="E245" s="2" t="n"/>
      <c r="F245" s="2" t="n"/>
    </row>
    <row r="246" ht="15.75" customHeight="1" s="134">
      <c r="A246" s="2" t="n"/>
      <c r="B246" s="2" t="n"/>
      <c r="C246" s="2" t="n"/>
      <c r="D246" s="2" t="n"/>
      <c r="E246" s="2" t="n"/>
      <c r="F246" s="2" t="n"/>
    </row>
    <row r="247" ht="15.75" customHeight="1" s="134">
      <c r="A247" s="2" t="n"/>
      <c r="B247" s="2" t="n"/>
      <c r="C247" s="2" t="n"/>
      <c r="D247" s="2" t="n"/>
      <c r="E247" s="2" t="n"/>
      <c r="F247" s="2" t="n"/>
    </row>
    <row r="248" ht="15.75" customHeight="1" s="134">
      <c r="A248" s="2" t="n"/>
      <c r="B248" s="2" t="n"/>
      <c r="C248" s="2" t="n"/>
      <c r="D248" s="2" t="n"/>
      <c r="E248" s="2" t="n"/>
      <c r="F248" s="2" t="n"/>
    </row>
    <row r="249" ht="15.75" customHeight="1" s="134">
      <c r="A249" s="2" t="n"/>
      <c r="B249" s="2" t="n"/>
      <c r="C249" s="2" t="n"/>
      <c r="D249" s="2" t="n"/>
      <c r="E249" s="2" t="n"/>
      <c r="F249" s="2" t="n"/>
    </row>
    <row r="250" ht="15.75" customHeight="1" s="134">
      <c r="A250" s="2" t="n"/>
      <c r="B250" s="2" t="n"/>
      <c r="C250" s="2" t="n"/>
      <c r="D250" s="2" t="n"/>
      <c r="E250" s="2" t="n"/>
      <c r="F250" s="2" t="n"/>
    </row>
    <row r="251" ht="15.75" customHeight="1" s="134">
      <c r="A251" s="2" t="n"/>
      <c r="B251" s="2" t="n"/>
      <c r="C251" s="2" t="n"/>
      <c r="D251" s="2" t="n"/>
      <c r="E251" s="2" t="n"/>
      <c r="F251" s="2" t="n"/>
    </row>
    <row r="252" ht="15.75" customHeight="1" s="134">
      <c r="A252" s="2" t="n"/>
      <c r="B252" s="2" t="n"/>
      <c r="C252" s="2" t="n"/>
      <c r="D252" s="2" t="n"/>
      <c r="E252" s="2" t="n"/>
      <c r="F252" s="2" t="n"/>
    </row>
    <row r="253" ht="15.75" customHeight="1" s="134">
      <c r="A253" s="2" t="n"/>
      <c r="B253" s="2" t="n"/>
      <c r="C253" s="2" t="n"/>
      <c r="D253" s="2" t="n"/>
      <c r="E253" s="2" t="n"/>
      <c r="F253" s="2" t="n"/>
    </row>
    <row r="254" ht="15.75" customHeight="1" s="134">
      <c r="A254" s="2" t="n"/>
      <c r="B254" s="2" t="n"/>
      <c r="C254" s="2" t="n"/>
      <c r="D254" s="2" t="n"/>
      <c r="E254" s="2" t="n"/>
      <c r="F254" s="2" t="n"/>
    </row>
    <row r="255" ht="15.75" customHeight="1" s="134">
      <c r="A255" s="2" t="n"/>
      <c r="B255" s="2" t="n"/>
      <c r="C255" s="2" t="n"/>
      <c r="D255" s="2" t="n"/>
      <c r="E255" s="2" t="n"/>
      <c r="F255" s="2" t="n"/>
    </row>
    <row r="256" ht="15.75" customHeight="1" s="134">
      <c r="A256" s="2" t="n"/>
      <c r="B256" s="2" t="n"/>
      <c r="C256" s="2" t="n"/>
      <c r="D256" s="2" t="n"/>
      <c r="E256" s="2" t="n"/>
      <c r="F256" s="2" t="n"/>
    </row>
    <row r="257" ht="15.75" customHeight="1" s="134">
      <c r="A257" s="2" t="n"/>
      <c r="B257" s="2" t="n"/>
      <c r="C257" s="2" t="n"/>
      <c r="D257" s="2" t="n"/>
      <c r="E257" s="2" t="n"/>
      <c r="F257" s="2" t="n"/>
    </row>
    <row r="258" ht="15.75" customHeight="1" s="134">
      <c r="A258" s="2" t="n"/>
      <c r="B258" s="2" t="n"/>
      <c r="C258" s="2" t="n"/>
      <c r="D258" s="2" t="n"/>
      <c r="E258" s="2" t="n"/>
      <c r="F258" s="2" t="n"/>
    </row>
    <row r="259" ht="15.75" customHeight="1" s="134">
      <c r="A259" s="2" t="n"/>
      <c r="B259" s="2" t="n"/>
      <c r="C259" s="2" t="n"/>
      <c r="D259" s="2" t="n"/>
      <c r="E259" s="2" t="n"/>
      <c r="F259" s="2" t="n"/>
    </row>
    <row r="260" ht="15.75" customHeight="1" s="134">
      <c r="A260" s="2" t="n"/>
      <c r="B260" s="2" t="n"/>
      <c r="C260" s="2" t="n"/>
      <c r="D260" s="2" t="n"/>
      <c r="E260" s="2" t="n"/>
      <c r="F260" s="2" t="n"/>
    </row>
    <row r="261" ht="15.75" customHeight="1" s="134">
      <c r="A261" s="2" t="n"/>
      <c r="B261" s="2" t="n"/>
      <c r="C261" s="2" t="n"/>
      <c r="D261" s="2" t="n"/>
      <c r="E261" s="2" t="n"/>
      <c r="F261" s="2" t="n"/>
    </row>
    <row r="262" ht="15.75" customHeight="1" s="134">
      <c r="A262" s="2" t="n"/>
      <c r="B262" s="2" t="n"/>
      <c r="C262" s="2" t="n"/>
      <c r="D262" s="2" t="n"/>
      <c r="E262" s="2" t="n"/>
      <c r="F262" s="2" t="n"/>
    </row>
    <row r="263" ht="15.75" customHeight="1" s="134">
      <c r="A263" s="2" t="n"/>
      <c r="B263" s="2" t="n"/>
      <c r="C263" s="2" t="n"/>
      <c r="D263" s="2" t="n"/>
      <c r="E263" s="2" t="n"/>
      <c r="F263" s="2" t="n"/>
    </row>
    <row r="264" ht="15.75" customHeight="1" s="134">
      <c r="A264" s="2" t="n"/>
      <c r="B264" s="2" t="n"/>
      <c r="C264" s="2" t="n"/>
      <c r="D264" s="2" t="n"/>
      <c r="E264" s="2" t="n"/>
      <c r="F264" s="2" t="n"/>
    </row>
    <row r="265" ht="15.75" customHeight="1" s="134">
      <c r="A265" s="2" t="n"/>
      <c r="B265" s="2" t="n"/>
      <c r="C265" s="2" t="n"/>
      <c r="D265" s="2" t="n"/>
      <c r="E265" s="2" t="n"/>
      <c r="F265" s="2" t="n"/>
    </row>
    <row r="266" ht="15.75" customHeight="1" s="134">
      <c r="A266" s="2" t="n"/>
      <c r="B266" s="2" t="n"/>
      <c r="C266" s="2" t="n"/>
      <c r="D266" s="2" t="n"/>
      <c r="E266" s="2" t="n"/>
      <c r="F266" s="2" t="n"/>
    </row>
    <row r="267" ht="15.75" customHeight="1" s="134">
      <c r="A267" s="2" t="n"/>
      <c r="B267" s="2" t="n"/>
      <c r="C267" s="2" t="n"/>
      <c r="D267" s="2" t="n"/>
      <c r="E267" s="2" t="n"/>
      <c r="F267" s="2" t="n"/>
    </row>
    <row r="268" ht="15.75" customHeight="1" s="134">
      <c r="A268" s="2" t="n"/>
      <c r="B268" s="2" t="n"/>
      <c r="C268" s="2" t="n"/>
      <c r="D268" s="2" t="n"/>
      <c r="E268" s="2" t="n"/>
      <c r="F268" s="2" t="n"/>
    </row>
    <row r="269" ht="15.75" customHeight="1" s="134">
      <c r="A269" s="2" t="n"/>
      <c r="B269" s="2" t="n"/>
      <c r="C269" s="2" t="n"/>
      <c r="D269" s="2" t="n"/>
      <c r="E269" s="2" t="n"/>
      <c r="F269" s="2" t="n"/>
    </row>
    <row r="270" ht="15.75" customHeight="1" s="134">
      <c r="A270" s="2" t="n"/>
      <c r="B270" s="2" t="n"/>
      <c r="C270" s="2" t="n"/>
      <c r="D270" s="2" t="n"/>
      <c r="E270" s="2" t="n"/>
      <c r="F270" s="2" t="n"/>
    </row>
    <row r="271" ht="15.75" customHeight="1" s="134">
      <c r="A271" s="2" t="n"/>
      <c r="B271" s="2" t="n"/>
      <c r="C271" s="2" t="n"/>
      <c r="D271" s="2" t="n"/>
      <c r="E271" s="2" t="n"/>
      <c r="F271" s="2" t="n"/>
    </row>
    <row r="272" ht="15.75" customHeight="1" s="134">
      <c r="A272" s="2" t="n"/>
      <c r="B272" s="2" t="n"/>
      <c r="C272" s="2" t="n"/>
      <c r="D272" s="2" t="n"/>
      <c r="E272" s="2" t="n"/>
      <c r="F272" s="2" t="n"/>
    </row>
    <row r="273" ht="15.75" customHeight="1" s="134">
      <c r="A273" s="2" t="n"/>
      <c r="B273" s="2" t="n"/>
      <c r="C273" s="2" t="n"/>
      <c r="D273" s="2" t="n"/>
      <c r="E273" s="2" t="n"/>
      <c r="F273" s="2" t="n"/>
    </row>
    <row r="274" ht="15.75" customHeight="1" s="134">
      <c r="A274" s="2" t="n"/>
      <c r="B274" s="2" t="n"/>
      <c r="C274" s="2" t="n"/>
      <c r="D274" s="2" t="n"/>
      <c r="E274" s="2" t="n"/>
      <c r="F274" s="2" t="n"/>
    </row>
    <row r="275" ht="15.75" customHeight="1" s="134">
      <c r="A275" s="2" t="n"/>
      <c r="B275" s="2" t="n"/>
      <c r="C275" s="2" t="n"/>
      <c r="D275" s="2" t="n"/>
      <c r="E275" s="2" t="n"/>
      <c r="F275" s="2" t="n"/>
    </row>
    <row r="276" ht="15.75" customHeight="1" s="134">
      <c r="A276" s="2" t="n"/>
      <c r="B276" s="2" t="n"/>
      <c r="C276" s="2" t="n"/>
      <c r="D276" s="2" t="n"/>
      <c r="E276" s="2" t="n"/>
      <c r="F276" s="2" t="n"/>
    </row>
    <row r="277" ht="15.75" customHeight="1" s="134">
      <c r="A277" s="2" t="n"/>
      <c r="B277" s="2" t="n"/>
      <c r="C277" s="2" t="n"/>
      <c r="D277" s="2" t="n"/>
      <c r="E277" s="2" t="n"/>
      <c r="F277" s="2" t="n"/>
    </row>
    <row r="278" ht="15.75" customHeight="1" s="134">
      <c r="A278" s="2" t="n"/>
      <c r="B278" s="2" t="n"/>
      <c r="C278" s="2" t="n"/>
      <c r="D278" s="2" t="n"/>
      <c r="E278" s="2" t="n"/>
      <c r="F278" s="2" t="n"/>
    </row>
    <row r="279" ht="15.75" customHeight="1" s="134">
      <c r="A279" s="2" t="n"/>
      <c r="B279" s="2" t="n"/>
      <c r="C279" s="2" t="n"/>
      <c r="D279" s="2" t="n"/>
      <c r="E279" s="2" t="n"/>
      <c r="F279" s="2" t="n"/>
    </row>
    <row r="280" ht="15.75" customHeight="1" s="134">
      <c r="A280" s="2" t="n"/>
      <c r="B280" s="2" t="n"/>
      <c r="C280" s="2" t="n"/>
      <c r="D280" s="2" t="n"/>
      <c r="E280" s="2" t="n"/>
      <c r="F280" s="2" t="n"/>
    </row>
    <row r="281" ht="15.75" customHeight="1" s="134">
      <c r="A281" s="2" t="n"/>
      <c r="B281" s="2" t="n"/>
      <c r="C281" s="2" t="n"/>
      <c r="D281" s="2" t="n"/>
      <c r="E281" s="2" t="n"/>
      <c r="F281" s="2" t="n"/>
    </row>
    <row r="282" ht="15.75" customHeight="1" s="134">
      <c r="A282" s="2" t="n"/>
      <c r="B282" s="2" t="n"/>
      <c r="C282" s="2" t="n"/>
      <c r="D282" s="2" t="n"/>
      <c r="E282" s="2" t="n"/>
      <c r="F282" s="2" t="n"/>
    </row>
    <row r="283" ht="15.75" customHeight="1" s="134">
      <c r="A283" s="2" t="n"/>
      <c r="B283" s="2" t="n"/>
      <c r="C283" s="2" t="n"/>
      <c r="D283" s="2" t="n"/>
      <c r="E283" s="2" t="n"/>
      <c r="F283" s="2" t="n"/>
    </row>
    <row r="284" ht="15.75" customHeight="1" s="134">
      <c r="A284" s="2" t="n"/>
      <c r="B284" s="2" t="n"/>
      <c r="C284" s="2" t="n"/>
      <c r="D284" s="2" t="n"/>
      <c r="E284" s="2" t="n"/>
      <c r="F284" s="2" t="n"/>
    </row>
    <row r="285" ht="15.75" customHeight="1" s="134">
      <c r="A285" s="2" t="n"/>
      <c r="B285" s="2" t="n"/>
      <c r="C285" s="2" t="n"/>
      <c r="D285" s="2" t="n"/>
      <c r="E285" s="2" t="n"/>
      <c r="F285" s="2" t="n"/>
    </row>
    <row r="286" ht="15.75" customHeight="1" s="134">
      <c r="A286" s="2" t="n"/>
      <c r="B286" s="2" t="n"/>
      <c r="C286" s="2" t="n"/>
      <c r="D286" s="2" t="n"/>
      <c r="E286" s="2" t="n"/>
      <c r="F286" s="2" t="n"/>
    </row>
    <row r="287" ht="15.75" customHeight="1" s="134">
      <c r="A287" s="2" t="n"/>
      <c r="B287" s="2" t="n"/>
      <c r="C287" s="2" t="n"/>
      <c r="D287" s="2" t="n"/>
      <c r="E287" s="2" t="n"/>
      <c r="F287" s="2" t="n"/>
    </row>
    <row r="288" ht="15.75" customHeight="1" s="134">
      <c r="A288" s="2" t="n"/>
      <c r="B288" s="2" t="n"/>
      <c r="C288" s="2" t="n"/>
      <c r="D288" s="2" t="n"/>
      <c r="E288" s="2" t="n"/>
      <c r="F288" s="2" t="n"/>
    </row>
    <row r="289" ht="15.75" customHeight="1" s="134">
      <c r="A289" s="2" t="n"/>
      <c r="B289" s="2" t="n"/>
      <c r="C289" s="2" t="n"/>
      <c r="D289" s="2" t="n"/>
      <c r="E289" s="2" t="n"/>
      <c r="F289" s="2" t="n"/>
    </row>
    <row r="290" ht="15.75" customHeight="1" s="134">
      <c r="A290" s="2" t="n"/>
      <c r="B290" s="2" t="n"/>
      <c r="C290" s="2" t="n"/>
      <c r="D290" s="2" t="n"/>
      <c r="E290" s="2" t="n"/>
      <c r="F290" s="2" t="n"/>
    </row>
    <row r="291" ht="15.75" customHeight="1" s="134">
      <c r="A291" s="2" t="n"/>
      <c r="B291" s="2" t="n"/>
      <c r="C291" s="2" t="n"/>
      <c r="D291" s="2" t="n"/>
      <c r="E291" s="2" t="n"/>
      <c r="F291" s="2" t="n"/>
    </row>
    <row r="292" ht="15.75" customHeight="1" s="134">
      <c r="A292" s="2" t="n"/>
      <c r="B292" s="2" t="n"/>
      <c r="C292" s="2" t="n"/>
      <c r="D292" s="2" t="n"/>
      <c r="E292" s="2" t="n"/>
      <c r="F292" s="2" t="n"/>
    </row>
    <row r="293" ht="15.75" customHeight="1" s="134">
      <c r="A293" s="2" t="n"/>
      <c r="B293" s="2" t="n"/>
      <c r="C293" s="2" t="n"/>
      <c r="D293" s="2" t="n"/>
      <c r="E293" s="2" t="n"/>
      <c r="F293" s="2" t="n"/>
    </row>
    <row r="294" ht="15.75" customHeight="1" s="134">
      <c r="A294" s="2" t="n"/>
      <c r="B294" s="2" t="n"/>
      <c r="C294" s="2" t="n"/>
      <c r="D294" s="2" t="n"/>
      <c r="E294" s="2" t="n"/>
      <c r="F294" s="2" t="n"/>
    </row>
    <row r="295" ht="15.75" customHeight="1" s="134">
      <c r="A295" s="2" t="n"/>
      <c r="B295" s="2" t="n"/>
      <c r="C295" s="2" t="n"/>
      <c r="D295" s="2" t="n"/>
      <c r="E295" s="2" t="n"/>
      <c r="F295" s="2" t="n"/>
    </row>
    <row r="296" ht="15.75" customHeight="1" s="134">
      <c r="A296" s="2" t="n"/>
      <c r="B296" s="2" t="n"/>
      <c r="C296" s="2" t="n"/>
      <c r="D296" s="2" t="n"/>
      <c r="E296" s="2" t="n"/>
      <c r="F296" s="2" t="n"/>
    </row>
    <row r="297" ht="15.75" customHeight="1" s="134">
      <c r="A297" s="2" t="n"/>
      <c r="B297" s="2" t="n"/>
      <c r="C297" s="2" t="n"/>
      <c r="D297" s="2" t="n"/>
      <c r="E297" s="2" t="n"/>
      <c r="F297" s="2" t="n"/>
    </row>
    <row r="298" ht="15.75" customHeight="1" s="134">
      <c r="A298" s="2" t="n"/>
      <c r="B298" s="2" t="n"/>
      <c r="C298" s="2" t="n"/>
      <c r="D298" s="2" t="n"/>
      <c r="E298" s="2" t="n"/>
      <c r="F298" s="2" t="n"/>
    </row>
    <row r="299" ht="15.75" customHeight="1" s="134">
      <c r="A299" s="2" t="n"/>
      <c r="B299" s="2" t="n"/>
      <c r="C299" s="2" t="n"/>
      <c r="D299" s="2" t="n"/>
      <c r="E299" s="2" t="n"/>
      <c r="F299" s="2" t="n"/>
    </row>
    <row r="300" ht="15.75" customHeight="1" s="134">
      <c r="A300" s="2" t="n"/>
      <c r="B300" s="2" t="n"/>
      <c r="C300" s="2" t="n"/>
      <c r="D300" s="2" t="n"/>
      <c r="E300" s="2" t="n"/>
      <c r="F300" s="2" t="n"/>
    </row>
    <row r="301" ht="15.75" customHeight="1" s="134">
      <c r="A301" s="2" t="n"/>
      <c r="B301" s="2" t="n"/>
      <c r="C301" s="2" t="n"/>
      <c r="D301" s="2" t="n"/>
      <c r="E301" s="2" t="n"/>
      <c r="F301" s="2" t="n"/>
    </row>
    <row r="302" ht="15.75" customHeight="1" s="134">
      <c r="A302" s="2" t="n"/>
      <c r="B302" s="2" t="n"/>
      <c r="C302" s="2" t="n"/>
      <c r="D302" s="2" t="n"/>
      <c r="E302" s="2" t="n"/>
      <c r="F302" s="2" t="n"/>
    </row>
    <row r="303" ht="15.75" customHeight="1" s="134">
      <c r="A303" s="2" t="n"/>
      <c r="B303" s="2" t="n"/>
      <c r="C303" s="2" t="n"/>
      <c r="D303" s="2" t="n"/>
      <c r="E303" s="2" t="n"/>
      <c r="F303" s="2" t="n"/>
    </row>
    <row r="304" ht="15.75" customHeight="1" s="134">
      <c r="A304" s="2" t="n"/>
      <c r="B304" s="2" t="n"/>
      <c r="C304" s="2" t="n"/>
      <c r="D304" s="2" t="n"/>
      <c r="E304" s="2" t="n"/>
      <c r="F304" s="2" t="n"/>
    </row>
    <row r="305" ht="15.75" customHeight="1" s="134">
      <c r="A305" s="2" t="n"/>
      <c r="B305" s="2" t="n"/>
      <c r="C305" s="2" t="n"/>
      <c r="D305" s="2" t="n"/>
      <c r="E305" s="2" t="n"/>
      <c r="F305" s="2" t="n"/>
    </row>
    <row r="306" ht="15.75" customHeight="1" s="134">
      <c r="A306" s="2" t="n"/>
      <c r="B306" s="2" t="n"/>
      <c r="C306" s="2" t="n"/>
      <c r="D306" s="2" t="n"/>
      <c r="E306" s="2" t="n"/>
      <c r="F306" s="2" t="n"/>
    </row>
    <row r="307" ht="15.75" customHeight="1" s="134">
      <c r="A307" s="2" t="n"/>
      <c r="B307" s="2" t="n"/>
      <c r="C307" s="2" t="n"/>
      <c r="D307" s="2" t="n"/>
      <c r="E307" s="2" t="n"/>
      <c r="F307" s="2" t="n"/>
    </row>
    <row r="308" ht="15.75" customHeight="1" s="134">
      <c r="A308" s="2" t="n"/>
      <c r="B308" s="2" t="n"/>
      <c r="C308" s="2" t="n"/>
      <c r="D308" s="2" t="n"/>
      <c r="E308" s="2" t="n"/>
      <c r="F308" s="2" t="n"/>
    </row>
    <row r="309" ht="15.75" customHeight="1" s="134">
      <c r="A309" s="2" t="n"/>
      <c r="B309" s="2" t="n"/>
      <c r="C309" s="2" t="n"/>
      <c r="D309" s="2" t="n"/>
      <c r="E309" s="2" t="n"/>
      <c r="F309" s="2" t="n"/>
    </row>
    <row r="310" ht="15.75" customHeight="1" s="134">
      <c r="A310" s="2" t="n"/>
      <c r="B310" s="2" t="n"/>
      <c r="C310" s="2" t="n"/>
      <c r="D310" s="2" t="n"/>
      <c r="E310" s="2" t="n"/>
      <c r="F310" s="2" t="n"/>
    </row>
    <row r="311" ht="15.75" customHeight="1" s="134">
      <c r="A311" s="2" t="n"/>
      <c r="B311" s="2" t="n"/>
      <c r="C311" s="2" t="n"/>
      <c r="D311" s="2" t="n"/>
      <c r="E311" s="2" t="n"/>
      <c r="F311" s="2" t="n"/>
    </row>
    <row r="312" ht="15.75" customHeight="1" s="134">
      <c r="A312" s="2" t="n"/>
      <c r="B312" s="2" t="n"/>
      <c r="C312" s="2" t="n"/>
      <c r="D312" s="2" t="n"/>
      <c r="E312" s="2" t="n"/>
      <c r="F312" s="2" t="n"/>
    </row>
    <row r="313" ht="15.75" customHeight="1" s="134">
      <c r="A313" s="2" t="n"/>
      <c r="B313" s="2" t="n"/>
      <c r="C313" s="2" t="n"/>
      <c r="D313" s="2" t="n"/>
      <c r="E313" s="2" t="n"/>
      <c r="F313" s="2" t="n"/>
    </row>
    <row r="314" ht="15.75" customHeight="1" s="134">
      <c r="A314" s="2" t="n"/>
      <c r="B314" s="2" t="n"/>
      <c r="C314" s="2" t="n"/>
      <c r="D314" s="2" t="n"/>
      <c r="E314" s="2" t="n"/>
      <c r="F314" s="2" t="n"/>
    </row>
    <row r="315" ht="15.75" customHeight="1" s="134">
      <c r="A315" s="2" t="n"/>
      <c r="B315" s="2" t="n"/>
      <c r="C315" s="2" t="n"/>
      <c r="D315" s="2" t="n"/>
      <c r="E315" s="2" t="n"/>
      <c r="F315" s="2" t="n"/>
    </row>
    <row r="316" ht="15.75" customHeight="1" s="134">
      <c r="A316" s="2" t="n"/>
      <c r="B316" s="2" t="n"/>
      <c r="C316" s="2" t="n"/>
      <c r="D316" s="2" t="n"/>
      <c r="E316" s="2" t="n"/>
      <c r="F316" s="2" t="n"/>
    </row>
    <row r="317" ht="15.75" customHeight="1" s="134">
      <c r="A317" s="2" t="n"/>
      <c r="B317" s="2" t="n"/>
      <c r="C317" s="2" t="n"/>
      <c r="D317" s="2" t="n"/>
      <c r="E317" s="2" t="n"/>
      <c r="F317" s="2" t="n"/>
    </row>
    <row r="318" ht="15.75" customHeight="1" s="134">
      <c r="A318" s="2" t="n"/>
      <c r="B318" s="2" t="n"/>
      <c r="C318" s="2" t="n"/>
      <c r="D318" s="2" t="n"/>
      <c r="E318" s="2" t="n"/>
      <c r="F318" s="2" t="n"/>
    </row>
    <row r="319" ht="15.75" customHeight="1" s="134">
      <c r="A319" s="2" t="n"/>
      <c r="B319" s="2" t="n"/>
      <c r="C319" s="2" t="n"/>
      <c r="D319" s="2" t="n"/>
      <c r="E319" s="2" t="n"/>
      <c r="F319" s="2" t="n"/>
    </row>
    <row r="320" ht="15.75" customHeight="1" s="134">
      <c r="A320" s="2" t="n"/>
      <c r="B320" s="2" t="n"/>
      <c r="C320" s="2" t="n"/>
      <c r="D320" s="2" t="n"/>
      <c r="E320" s="2" t="n"/>
      <c r="F320" s="2" t="n"/>
    </row>
    <row r="321" ht="15.75" customHeight="1" s="134">
      <c r="A321" s="2" t="n"/>
      <c r="B321" s="2" t="n"/>
      <c r="C321" s="2" t="n"/>
      <c r="D321" s="2" t="n"/>
      <c r="E321" s="2" t="n"/>
      <c r="F321" s="2" t="n"/>
    </row>
    <row r="322" ht="15.75" customHeight="1" s="134">
      <c r="A322" s="2" t="n"/>
      <c r="B322" s="2" t="n"/>
      <c r="C322" s="2" t="n"/>
      <c r="D322" s="2" t="n"/>
      <c r="E322" s="2" t="n"/>
      <c r="F322" s="2" t="n"/>
    </row>
    <row r="323" ht="15.75" customHeight="1" s="134">
      <c r="A323" s="2" t="n"/>
      <c r="B323" s="2" t="n"/>
      <c r="C323" s="2" t="n"/>
      <c r="D323" s="2" t="n"/>
      <c r="E323" s="2" t="n"/>
      <c r="F323" s="2" t="n"/>
    </row>
    <row r="324" ht="15.75" customHeight="1" s="134">
      <c r="A324" s="2" t="n"/>
      <c r="B324" s="2" t="n"/>
      <c r="C324" s="2" t="n"/>
      <c r="D324" s="2" t="n"/>
      <c r="E324" s="2" t="n"/>
      <c r="F324" s="2" t="n"/>
    </row>
    <row r="325" ht="15.75" customHeight="1" s="134">
      <c r="A325" s="2" t="n"/>
      <c r="B325" s="2" t="n"/>
      <c r="C325" s="2" t="n"/>
      <c r="D325" s="2" t="n"/>
      <c r="E325" s="2" t="n"/>
      <c r="F325" s="2" t="n"/>
    </row>
    <row r="326" ht="15.75" customHeight="1" s="134">
      <c r="A326" s="2" t="n"/>
      <c r="B326" s="2" t="n"/>
      <c r="C326" s="2" t="n"/>
      <c r="D326" s="2" t="n"/>
      <c r="E326" s="2" t="n"/>
      <c r="F326" s="2" t="n"/>
    </row>
    <row r="327" ht="15.75" customHeight="1" s="134">
      <c r="A327" s="2" t="n"/>
      <c r="B327" s="2" t="n"/>
      <c r="C327" s="2" t="n"/>
      <c r="D327" s="2" t="n"/>
      <c r="E327" s="2" t="n"/>
      <c r="F327" s="2" t="n"/>
    </row>
    <row r="328" ht="15.75" customHeight="1" s="134">
      <c r="A328" s="2" t="n"/>
      <c r="B328" s="2" t="n"/>
      <c r="C328" s="2" t="n"/>
      <c r="D328" s="2" t="n"/>
      <c r="E328" s="2" t="n"/>
      <c r="F328" s="2" t="n"/>
    </row>
    <row r="329" ht="15.75" customHeight="1" s="134">
      <c r="A329" s="2" t="n"/>
      <c r="B329" s="2" t="n"/>
      <c r="C329" s="2" t="n"/>
      <c r="D329" s="2" t="n"/>
      <c r="E329" s="2" t="n"/>
      <c r="F329" s="2" t="n"/>
    </row>
    <row r="330" ht="15.75" customHeight="1" s="134">
      <c r="A330" s="2" t="n"/>
      <c r="B330" s="2" t="n"/>
      <c r="C330" s="2" t="n"/>
      <c r="D330" s="2" t="n"/>
      <c r="E330" s="2" t="n"/>
      <c r="F330" s="2" t="n"/>
    </row>
    <row r="331" ht="15.75" customHeight="1" s="134">
      <c r="A331" s="2" t="n"/>
      <c r="B331" s="2" t="n"/>
      <c r="C331" s="2" t="n"/>
      <c r="D331" s="2" t="n"/>
      <c r="E331" s="2" t="n"/>
      <c r="F331" s="2" t="n"/>
    </row>
    <row r="332" ht="15.75" customHeight="1" s="134">
      <c r="A332" s="2" t="n"/>
      <c r="B332" s="2" t="n"/>
      <c r="C332" s="2" t="n"/>
      <c r="D332" s="2" t="n"/>
      <c r="E332" s="2" t="n"/>
      <c r="F332" s="2" t="n"/>
    </row>
    <row r="333" ht="15.75" customHeight="1" s="134">
      <c r="A333" s="2" t="n"/>
      <c r="B333" s="2" t="n"/>
      <c r="C333" s="2" t="n"/>
      <c r="D333" s="2" t="n"/>
      <c r="E333" s="2" t="n"/>
      <c r="F333" s="2" t="n"/>
    </row>
    <row r="334" ht="15.75" customHeight="1" s="134">
      <c r="A334" s="2" t="n"/>
      <c r="B334" s="2" t="n"/>
      <c r="C334" s="2" t="n"/>
      <c r="D334" s="2" t="n"/>
      <c r="E334" s="2" t="n"/>
      <c r="F334" s="2" t="n"/>
    </row>
    <row r="335" ht="15.75" customHeight="1" s="134">
      <c r="A335" s="2" t="n"/>
      <c r="B335" s="2" t="n"/>
      <c r="C335" s="2" t="n"/>
      <c r="D335" s="2" t="n"/>
      <c r="E335" s="2" t="n"/>
      <c r="F335" s="2" t="n"/>
    </row>
    <row r="336" ht="15.75" customHeight="1" s="134">
      <c r="A336" s="2" t="n"/>
      <c r="B336" s="2" t="n"/>
      <c r="C336" s="2" t="n"/>
      <c r="D336" s="2" t="n"/>
      <c r="E336" s="2" t="n"/>
      <c r="F336" s="2" t="n"/>
    </row>
    <row r="337" ht="15.75" customHeight="1" s="134">
      <c r="A337" s="2" t="n"/>
      <c r="B337" s="2" t="n"/>
      <c r="C337" s="2" t="n"/>
      <c r="D337" s="2" t="n"/>
      <c r="E337" s="2" t="n"/>
      <c r="F337" s="2" t="n"/>
    </row>
    <row r="338" ht="15.75" customHeight="1" s="134">
      <c r="A338" s="2" t="n"/>
      <c r="B338" s="2" t="n"/>
      <c r="C338" s="2" t="n"/>
      <c r="D338" s="2" t="n"/>
      <c r="E338" s="2" t="n"/>
      <c r="F338" s="2" t="n"/>
    </row>
    <row r="339" ht="15.75" customHeight="1" s="134">
      <c r="A339" s="2" t="n"/>
      <c r="B339" s="2" t="n"/>
      <c r="C339" s="2" t="n"/>
      <c r="D339" s="2" t="n"/>
      <c r="E339" s="2" t="n"/>
      <c r="F339" s="2" t="n"/>
    </row>
    <row r="340" ht="15.75" customHeight="1" s="134">
      <c r="A340" s="2" t="n"/>
      <c r="B340" s="2" t="n"/>
      <c r="C340" s="2" t="n"/>
      <c r="D340" s="2" t="n"/>
      <c r="E340" s="2" t="n"/>
      <c r="F340" s="2" t="n"/>
    </row>
    <row r="341" ht="15.75" customHeight="1" s="134">
      <c r="A341" s="2" t="n"/>
      <c r="B341" s="2" t="n"/>
      <c r="C341" s="2" t="n"/>
      <c r="D341" s="2" t="n"/>
      <c r="E341" s="2" t="n"/>
      <c r="F341" s="2" t="n"/>
    </row>
    <row r="342" ht="15.75" customHeight="1" s="134">
      <c r="A342" s="2" t="n"/>
      <c r="B342" s="2" t="n"/>
      <c r="C342" s="2" t="n"/>
      <c r="D342" s="2" t="n"/>
      <c r="E342" s="2" t="n"/>
      <c r="F342" s="2" t="n"/>
    </row>
    <row r="343" ht="15.75" customHeight="1" s="134">
      <c r="A343" s="2" t="n"/>
      <c r="B343" s="2" t="n"/>
      <c r="C343" s="2" t="n"/>
      <c r="D343" s="2" t="n"/>
      <c r="E343" s="2" t="n"/>
      <c r="F343" s="2" t="n"/>
    </row>
    <row r="344" ht="15.75" customHeight="1" s="134">
      <c r="A344" s="2" t="n"/>
      <c r="B344" s="2" t="n"/>
      <c r="C344" s="2" t="n"/>
      <c r="D344" s="2" t="n"/>
      <c r="E344" s="2" t="n"/>
      <c r="F344" s="2" t="n"/>
    </row>
    <row r="345" ht="15.75" customHeight="1" s="134">
      <c r="A345" s="2" t="n"/>
      <c r="B345" s="2" t="n"/>
      <c r="C345" s="2" t="n"/>
      <c r="D345" s="2" t="n"/>
      <c r="E345" s="2" t="n"/>
      <c r="F345" s="2" t="n"/>
    </row>
    <row r="346" ht="15.75" customHeight="1" s="134">
      <c r="A346" s="2" t="n"/>
      <c r="B346" s="2" t="n"/>
      <c r="C346" s="2" t="n"/>
      <c r="D346" s="2" t="n"/>
      <c r="E346" s="2" t="n"/>
      <c r="F346" s="2" t="n"/>
    </row>
    <row r="347" ht="15.75" customHeight="1" s="134">
      <c r="A347" s="2" t="n"/>
      <c r="B347" s="2" t="n"/>
      <c r="C347" s="2" t="n"/>
      <c r="D347" s="2" t="n"/>
      <c r="E347" s="2" t="n"/>
      <c r="F347" s="2" t="n"/>
    </row>
    <row r="348" ht="15.75" customHeight="1" s="134">
      <c r="A348" s="2" t="n"/>
      <c r="B348" s="2" t="n"/>
      <c r="C348" s="2" t="n"/>
      <c r="D348" s="2" t="n"/>
      <c r="E348" s="2" t="n"/>
      <c r="F348" s="2" t="n"/>
    </row>
    <row r="349" ht="15.75" customHeight="1" s="134">
      <c r="A349" s="2" t="n"/>
      <c r="B349" s="2" t="n"/>
      <c r="C349" s="2" t="n"/>
      <c r="D349" s="2" t="n"/>
      <c r="E349" s="2" t="n"/>
      <c r="F349" s="2" t="n"/>
    </row>
    <row r="350" ht="15.75" customHeight="1" s="134">
      <c r="A350" s="2" t="n"/>
      <c r="B350" s="2" t="n"/>
      <c r="C350" s="2" t="n"/>
      <c r="D350" s="2" t="n"/>
      <c r="E350" s="2" t="n"/>
      <c r="F350" s="2" t="n"/>
    </row>
    <row r="351" ht="15.75" customHeight="1" s="134">
      <c r="A351" s="2" t="n"/>
      <c r="B351" s="2" t="n"/>
      <c r="C351" s="2" t="n"/>
      <c r="D351" s="2" t="n"/>
      <c r="E351" s="2" t="n"/>
      <c r="F351" s="2" t="n"/>
    </row>
    <row r="352" ht="15.75" customHeight="1" s="134">
      <c r="A352" s="2" t="n"/>
      <c r="B352" s="2" t="n"/>
      <c r="C352" s="2" t="n"/>
      <c r="D352" s="2" t="n"/>
      <c r="E352" s="2" t="n"/>
      <c r="F352" s="2" t="n"/>
    </row>
    <row r="353" ht="15.75" customHeight="1" s="134">
      <c r="A353" s="2" t="n"/>
      <c r="B353" s="2" t="n"/>
      <c r="C353" s="2" t="n"/>
      <c r="D353" s="2" t="n"/>
      <c r="E353" s="2" t="n"/>
      <c r="F353" s="2" t="n"/>
    </row>
    <row r="354" ht="15.75" customHeight="1" s="134">
      <c r="A354" s="2" t="n"/>
      <c r="B354" s="2" t="n"/>
      <c r="C354" s="2" t="n"/>
      <c r="D354" s="2" t="n"/>
      <c r="E354" s="2" t="n"/>
      <c r="F354" s="2" t="n"/>
    </row>
    <row r="355" ht="15.75" customHeight="1" s="134">
      <c r="A355" s="2" t="n"/>
      <c r="B355" s="2" t="n"/>
      <c r="C355" s="2" t="n"/>
      <c r="D355" s="2" t="n"/>
      <c r="E355" s="2" t="n"/>
      <c r="F355" s="2" t="n"/>
    </row>
    <row r="356" ht="15.75" customHeight="1" s="134">
      <c r="A356" s="2" t="n"/>
      <c r="B356" s="2" t="n"/>
      <c r="C356" s="2" t="n"/>
      <c r="D356" s="2" t="n"/>
      <c r="E356" s="2" t="n"/>
      <c r="F356" s="2" t="n"/>
    </row>
    <row r="357" ht="15.75" customHeight="1" s="134">
      <c r="A357" s="2" t="n"/>
      <c r="B357" s="2" t="n"/>
      <c r="C357" s="2" t="n"/>
      <c r="D357" s="2" t="n"/>
      <c r="E357" s="2" t="n"/>
      <c r="F357" s="2" t="n"/>
    </row>
    <row r="358" ht="15.75" customHeight="1" s="134">
      <c r="A358" s="2" t="n"/>
      <c r="B358" s="2" t="n"/>
      <c r="C358" s="2" t="n"/>
      <c r="D358" s="2" t="n"/>
      <c r="E358" s="2" t="n"/>
      <c r="F358" s="2" t="n"/>
    </row>
    <row r="359" ht="15.75" customHeight="1" s="134">
      <c r="A359" s="2" t="n"/>
      <c r="B359" s="2" t="n"/>
      <c r="C359" s="2" t="n"/>
      <c r="D359" s="2" t="n"/>
      <c r="E359" s="2" t="n"/>
      <c r="F359" s="2" t="n"/>
    </row>
    <row r="360" ht="15.75" customHeight="1" s="134">
      <c r="A360" s="2" t="n"/>
      <c r="B360" s="2" t="n"/>
      <c r="C360" s="2" t="n"/>
      <c r="D360" s="2" t="n"/>
      <c r="E360" s="2" t="n"/>
      <c r="F360" s="2" t="n"/>
    </row>
    <row r="361" ht="15.75" customHeight="1" s="134">
      <c r="A361" s="2" t="n"/>
      <c r="B361" s="2" t="n"/>
      <c r="C361" s="2" t="n"/>
      <c r="D361" s="2" t="n"/>
      <c r="E361" s="2" t="n"/>
      <c r="F361" s="2" t="n"/>
    </row>
    <row r="362" ht="15.75" customHeight="1" s="134">
      <c r="A362" s="2" t="n"/>
      <c r="B362" s="2" t="n"/>
      <c r="C362" s="2" t="n"/>
      <c r="D362" s="2" t="n"/>
      <c r="E362" s="2" t="n"/>
      <c r="F362" s="2" t="n"/>
    </row>
    <row r="363" ht="15.75" customHeight="1" s="134">
      <c r="A363" s="2" t="n"/>
      <c r="B363" s="2" t="n"/>
      <c r="C363" s="2" t="n"/>
      <c r="D363" s="2" t="n"/>
      <c r="E363" s="2" t="n"/>
      <c r="F363" s="2" t="n"/>
    </row>
    <row r="364" ht="15.75" customHeight="1" s="134">
      <c r="A364" s="2" t="n"/>
      <c r="B364" s="2" t="n"/>
      <c r="C364" s="2" t="n"/>
      <c r="D364" s="2" t="n"/>
      <c r="E364" s="2" t="n"/>
      <c r="F364" s="2" t="n"/>
    </row>
    <row r="365" ht="15.75" customHeight="1" s="134">
      <c r="A365" s="2" t="n"/>
      <c r="B365" s="2" t="n"/>
      <c r="C365" s="2" t="n"/>
      <c r="D365" s="2" t="n"/>
      <c r="E365" s="2" t="n"/>
      <c r="F365" s="2" t="n"/>
    </row>
    <row r="366" ht="15.75" customHeight="1" s="134">
      <c r="A366" s="2" t="n"/>
      <c r="B366" s="2" t="n"/>
      <c r="C366" s="2" t="n"/>
      <c r="D366" s="2" t="n"/>
      <c r="E366" s="2" t="n"/>
      <c r="F366" s="2" t="n"/>
    </row>
    <row r="367" ht="15.75" customHeight="1" s="134">
      <c r="A367" s="2" t="n"/>
      <c r="B367" s="2" t="n"/>
      <c r="C367" s="2" t="n"/>
      <c r="D367" s="2" t="n"/>
      <c r="E367" s="2" t="n"/>
      <c r="F367" s="2" t="n"/>
    </row>
    <row r="368" ht="15.75" customHeight="1" s="134">
      <c r="A368" s="2" t="n"/>
      <c r="B368" s="2" t="n"/>
      <c r="C368" s="2" t="n"/>
      <c r="D368" s="2" t="n"/>
      <c r="E368" s="2" t="n"/>
      <c r="F368" s="2" t="n"/>
    </row>
    <row r="369" ht="15.75" customHeight="1" s="134">
      <c r="A369" s="2" t="n"/>
      <c r="B369" s="2" t="n"/>
      <c r="C369" s="2" t="n"/>
      <c r="D369" s="2" t="n"/>
      <c r="E369" s="2" t="n"/>
      <c r="F369" s="2" t="n"/>
    </row>
    <row r="370" ht="15.75" customHeight="1" s="134">
      <c r="A370" s="2" t="n"/>
      <c r="B370" s="2" t="n"/>
      <c r="C370" s="2" t="n"/>
      <c r="D370" s="2" t="n"/>
      <c r="E370" s="2" t="n"/>
      <c r="F370" s="2" t="n"/>
    </row>
    <row r="371" ht="15.75" customHeight="1" s="134">
      <c r="A371" s="2" t="n"/>
      <c r="B371" s="2" t="n"/>
      <c r="C371" s="2" t="n"/>
      <c r="D371" s="2" t="n"/>
      <c r="E371" s="2" t="n"/>
      <c r="F371" s="2" t="n"/>
    </row>
    <row r="372" ht="15.75" customHeight="1" s="134">
      <c r="A372" s="2" t="n"/>
      <c r="B372" s="2" t="n"/>
      <c r="C372" s="2" t="n"/>
      <c r="D372" s="2" t="n"/>
      <c r="E372" s="2" t="n"/>
      <c r="F372" s="2" t="n"/>
    </row>
    <row r="373" ht="15.75" customHeight="1" s="134">
      <c r="A373" s="2" t="n"/>
      <c r="B373" s="2" t="n"/>
      <c r="C373" s="2" t="n"/>
      <c r="D373" s="2" t="n"/>
      <c r="E373" s="2" t="n"/>
      <c r="F373" s="2" t="n"/>
    </row>
    <row r="374" ht="15.75" customHeight="1" s="134">
      <c r="A374" s="2" t="n"/>
      <c r="B374" s="2" t="n"/>
      <c r="C374" s="2" t="n"/>
      <c r="D374" s="2" t="n"/>
      <c r="E374" s="2" t="n"/>
      <c r="F374" s="2" t="n"/>
    </row>
    <row r="375" ht="15.75" customHeight="1" s="134">
      <c r="A375" s="2" t="n"/>
      <c r="B375" s="2" t="n"/>
      <c r="C375" s="2" t="n"/>
      <c r="D375" s="2" t="n"/>
      <c r="E375" s="2" t="n"/>
      <c r="F375" s="2" t="n"/>
    </row>
    <row r="376" ht="15.75" customHeight="1" s="134">
      <c r="A376" s="2" t="n"/>
      <c r="B376" s="2" t="n"/>
      <c r="C376" s="2" t="n"/>
      <c r="D376" s="2" t="n"/>
      <c r="E376" s="2" t="n"/>
      <c r="F376" s="2" t="n"/>
    </row>
    <row r="377" ht="15.75" customHeight="1" s="134">
      <c r="A377" s="2" t="n"/>
      <c r="B377" s="2" t="n"/>
      <c r="C377" s="2" t="n"/>
      <c r="D377" s="2" t="n"/>
      <c r="E377" s="2" t="n"/>
      <c r="F377" s="2" t="n"/>
    </row>
    <row r="378" ht="15.75" customHeight="1" s="134">
      <c r="A378" s="2" t="n"/>
      <c r="B378" s="2" t="n"/>
      <c r="C378" s="2" t="n"/>
      <c r="D378" s="2" t="n"/>
      <c r="E378" s="2" t="n"/>
      <c r="F378" s="2" t="n"/>
    </row>
    <row r="379" ht="15.75" customHeight="1" s="134">
      <c r="A379" s="2" t="n"/>
      <c r="B379" s="2" t="n"/>
      <c r="C379" s="2" t="n"/>
      <c r="D379" s="2" t="n"/>
      <c r="E379" s="2" t="n"/>
      <c r="F379" s="2" t="n"/>
    </row>
    <row r="380" ht="15.75" customHeight="1" s="134">
      <c r="A380" s="2" t="n"/>
      <c r="B380" s="2" t="n"/>
      <c r="C380" s="2" t="n"/>
      <c r="D380" s="2" t="n"/>
      <c r="E380" s="2" t="n"/>
      <c r="F380" s="2" t="n"/>
    </row>
    <row r="381" ht="15.75" customHeight="1" s="134">
      <c r="A381" s="2" t="n"/>
      <c r="B381" s="2" t="n"/>
      <c r="C381" s="2" t="n"/>
      <c r="D381" s="2" t="n"/>
      <c r="E381" s="2" t="n"/>
      <c r="F381" s="2" t="n"/>
    </row>
    <row r="382" ht="15.75" customHeight="1" s="134">
      <c r="A382" s="2" t="n"/>
      <c r="B382" s="2" t="n"/>
      <c r="C382" s="2" t="n"/>
      <c r="D382" s="2" t="n"/>
      <c r="E382" s="2" t="n"/>
      <c r="F382" s="2" t="n"/>
    </row>
    <row r="383" ht="15.75" customHeight="1" s="134">
      <c r="A383" s="2" t="n"/>
      <c r="B383" s="2" t="n"/>
      <c r="C383" s="2" t="n"/>
      <c r="D383" s="2" t="n"/>
      <c r="E383" s="2" t="n"/>
      <c r="F383" s="2" t="n"/>
    </row>
    <row r="384" ht="15.75" customHeight="1" s="134">
      <c r="A384" s="2" t="n"/>
      <c r="B384" s="2" t="n"/>
      <c r="C384" s="2" t="n"/>
      <c r="D384" s="2" t="n"/>
      <c r="E384" s="2" t="n"/>
      <c r="F384" s="2" t="n"/>
    </row>
    <row r="385" ht="15.75" customHeight="1" s="134">
      <c r="A385" s="2" t="n"/>
      <c r="B385" s="2" t="n"/>
      <c r="C385" s="2" t="n"/>
      <c r="D385" s="2" t="n"/>
      <c r="E385" s="2" t="n"/>
      <c r="F385" s="2" t="n"/>
    </row>
    <row r="386" ht="15.75" customHeight="1" s="134">
      <c r="A386" s="2" t="n"/>
      <c r="B386" s="2" t="n"/>
      <c r="C386" s="2" t="n"/>
      <c r="D386" s="2" t="n"/>
      <c r="E386" s="2" t="n"/>
      <c r="F386" s="2" t="n"/>
    </row>
    <row r="387" ht="15.75" customHeight="1" s="134">
      <c r="A387" s="2" t="n"/>
      <c r="B387" s="2" t="n"/>
      <c r="C387" s="2" t="n"/>
      <c r="D387" s="2" t="n"/>
      <c r="E387" s="2" t="n"/>
      <c r="F387" s="2" t="n"/>
    </row>
    <row r="388" ht="15.75" customHeight="1" s="134">
      <c r="A388" s="2" t="n"/>
      <c r="B388" s="2" t="n"/>
      <c r="C388" s="2" t="n"/>
      <c r="D388" s="2" t="n"/>
      <c r="E388" s="2" t="n"/>
      <c r="F388" s="2" t="n"/>
    </row>
    <row r="389" ht="15.75" customHeight="1" s="134">
      <c r="A389" s="2" t="n"/>
      <c r="B389" s="2" t="n"/>
      <c r="C389" s="2" t="n"/>
      <c r="D389" s="2" t="n"/>
      <c r="E389" s="2" t="n"/>
      <c r="F389" s="2" t="n"/>
    </row>
    <row r="390" ht="15.75" customHeight="1" s="134">
      <c r="A390" s="2" t="n"/>
      <c r="B390" s="2" t="n"/>
      <c r="C390" s="2" t="n"/>
      <c r="D390" s="2" t="n"/>
      <c r="E390" s="2" t="n"/>
      <c r="F390" s="2" t="n"/>
    </row>
    <row r="391" ht="15.75" customHeight="1" s="134">
      <c r="A391" s="2" t="n"/>
      <c r="B391" s="2" t="n"/>
      <c r="C391" s="2" t="n"/>
      <c r="D391" s="2" t="n"/>
      <c r="E391" s="2" t="n"/>
      <c r="F391" s="2" t="n"/>
    </row>
    <row r="392" ht="15.75" customHeight="1" s="134">
      <c r="A392" s="2" t="n"/>
      <c r="B392" s="2" t="n"/>
      <c r="C392" s="2" t="n"/>
      <c r="D392" s="2" t="n"/>
      <c r="E392" s="2" t="n"/>
      <c r="F392" s="2" t="n"/>
    </row>
    <row r="393" ht="15.75" customHeight="1" s="134">
      <c r="A393" s="2" t="n"/>
      <c r="B393" s="2" t="n"/>
      <c r="C393" s="2" t="n"/>
      <c r="D393" s="2" t="n"/>
      <c r="E393" s="2" t="n"/>
      <c r="F393" s="2" t="n"/>
    </row>
    <row r="394" ht="15.75" customHeight="1" s="134">
      <c r="A394" s="2" t="n"/>
      <c r="B394" s="2" t="n"/>
      <c r="C394" s="2" t="n"/>
      <c r="D394" s="2" t="n"/>
      <c r="E394" s="2" t="n"/>
      <c r="F394" s="2" t="n"/>
    </row>
    <row r="395" ht="15.75" customHeight="1" s="134">
      <c r="A395" s="2" t="n"/>
      <c r="B395" s="2" t="n"/>
      <c r="C395" s="2" t="n"/>
      <c r="D395" s="2" t="n"/>
      <c r="E395" s="2" t="n"/>
      <c r="F395" s="2" t="n"/>
    </row>
    <row r="396" ht="15.75" customHeight="1" s="134">
      <c r="A396" s="2" t="n"/>
      <c r="B396" s="2" t="n"/>
      <c r="C396" s="2" t="n"/>
      <c r="D396" s="2" t="n"/>
      <c r="E396" s="2" t="n"/>
      <c r="F396" s="2" t="n"/>
    </row>
    <row r="397" ht="15.75" customHeight="1" s="134">
      <c r="A397" s="2" t="n"/>
      <c r="B397" s="2" t="n"/>
      <c r="C397" s="2" t="n"/>
      <c r="D397" s="2" t="n"/>
      <c r="E397" s="2" t="n"/>
      <c r="F397" s="2" t="n"/>
    </row>
    <row r="398" ht="15.75" customHeight="1" s="134">
      <c r="A398" s="2" t="n"/>
      <c r="B398" s="2" t="n"/>
      <c r="C398" s="2" t="n"/>
      <c r="D398" s="2" t="n"/>
      <c r="E398" s="2" t="n"/>
      <c r="F398" s="2" t="n"/>
    </row>
    <row r="399" ht="15.75" customHeight="1" s="134">
      <c r="A399" s="2" t="n"/>
      <c r="B399" s="2" t="n"/>
      <c r="C399" s="2" t="n"/>
      <c r="D399" s="2" t="n"/>
      <c r="E399" s="2" t="n"/>
      <c r="F399" s="2" t="n"/>
    </row>
    <row r="400" ht="15.75" customHeight="1" s="134">
      <c r="A400" s="2" t="n"/>
      <c r="B400" s="2" t="n"/>
      <c r="C400" s="2" t="n"/>
      <c r="D400" s="2" t="n"/>
      <c r="E400" s="2" t="n"/>
      <c r="F400" s="2" t="n"/>
    </row>
    <row r="401" ht="15.75" customHeight="1" s="134">
      <c r="A401" s="2" t="n"/>
      <c r="B401" s="2" t="n"/>
      <c r="C401" s="2" t="n"/>
      <c r="D401" s="2" t="n"/>
      <c r="E401" s="2" t="n"/>
      <c r="F401" s="2" t="n"/>
    </row>
    <row r="402" ht="15.75" customHeight="1" s="134">
      <c r="A402" s="2" t="n"/>
      <c r="B402" s="2" t="n"/>
      <c r="C402" s="2" t="n"/>
      <c r="D402" s="2" t="n"/>
      <c r="E402" s="2" t="n"/>
      <c r="F402" s="2" t="n"/>
    </row>
    <row r="403" ht="15.75" customHeight="1" s="134">
      <c r="A403" s="2" t="n"/>
      <c r="B403" s="2" t="n"/>
      <c r="C403" s="2" t="n"/>
      <c r="D403" s="2" t="n"/>
      <c r="E403" s="2" t="n"/>
      <c r="F403" s="2" t="n"/>
    </row>
    <row r="404" ht="15.75" customHeight="1" s="134">
      <c r="A404" s="2" t="n"/>
      <c r="B404" s="2" t="n"/>
      <c r="C404" s="2" t="n"/>
      <c r="D404" s="2" t="n"/>
      <c r="E404" s="2" t="n"/>
      <c r="F404" s="2" t="n"/>
    </row>
    <row r="405" ht="15.75" customHeight="1" s="134">
      <c r="A405" s="2" t="n"/>
      <c r="B405" s="2" t="n"/>
      <c r="C405" s="2" t="n"/>
      <c r="D405" s="2" t="n"/>
      <c r="E405" s="2" t="n"/>
      <c r="F405" s="2" t="n"/>
    </row>
    <row r="406" ht="15.75" customHeight="1" s="134">
      <c r="A406" s="2" t="n"/>
      <c r="B406" s="2" t="n"/>
      <c r="C406" s="2" t="n"/>
      <c r="D406" s="2" t="n"/>
      <c r="E406" s="2" t="n"/>
      <c r="F406" s="2" t="n"/>
    </row>
    <row r="407" ht="15.75" customHeight="1" s="134">
      <c r="A407" s="2" t="n"/>
      <c r="B407" s="2" t="n"/>
      <c r="C407" s="2" t="n"/>
      <c r="D407" s="2" t="n"/>
      <c r="E407" s="2" t="n"/>
      <c r="F407" s="2" t="n"/>
    </row>
    <row r="408" ht="15.75" customHeight="1" s="134">
      <c r="A408" s="2" t="n"/>
      <c r="B408" s="2" t="n"/>
      <c r="C408" s="2" t="n"/>
      <c r="D408" s="2" t="n"/>
      <c r="E408" s="2" t="n"/>
      <c r="F408" s="2" t="n"/>
    </row>
    <row r="409" ht="15.75" customHeight="1" s="134">
      <c r="A409" s="2" t="n"/>
      <c r="B409" s="2" t="n"/>
      <c r="C409" s="2" t="n"/>
      <c r="D409" s="2" t="n"/>
      <c r="E409" s="2" t="n"/>
      <c r="F409" s="2" t="n"/>
    </row>
    <row r="410" ht="15.75" customHeight="1" s="134">
      <c r="A410" s="2" t="n"/>
      <c r="B410" s="2" t="n"/>
      <c r="C410" s="2" t="n"/>
      <c r="D410" s="2" t="n"/>
      <c r="E410" s="2" t="n"/>
      <c r="F410" s="2" t="n"/>
    </row>
    <row r="411" ht="15.75" customHeight="1" s="134">
      <c r="A411" s="2" t="n"/>
      <c r="B411" s="2" t="n"/>
      <c r="C411" s="2" t="n"/>
      <c r="D411" s="2" t="n"/>
      <c r="E411" s="2" t="n"/>
      <c r="F411" s="2" t="n"/>
    </row>
    <row r="412" ht="15.75" customHeight="1" s="134">
      <c r="A412" s="2" t="n"/>
      <c r="B412" s="2" t="n"/>
      <c r="C412" s="2" t="n"/>
      <c r="D412" s="2" t="n"/>
      <c r="E412" s="2" t="n"/>
      <c r="F412" s="2" t="n"/>
    </row>
    <row r="413" ht="15.75" customHeight="1" s="134">
      <c r="A413" s="2" t="n"/>
      <c r="B413" s="2" t="n"/>
      <c r="C413" s="2" t="n"/>
      <c r="D413" s="2" t="n"/>
      <c r="E413" s="2" t="n"/>
      <c r="F413" s="2" t="n"/>
    </row>
    <row r="414" ht="15.75" customHeight="1" s="134">
      <c r="A414" s="2" t="n"/>
      <c r="B414" s="2" t="n"/>
      <c r="C414" s="2" t="n"/>
      <c r="D414" s="2" t="n"/>
      <c r="E414" s="2" t="n"/>
      <c r="F414" s="2" t="n"/>
    </row>
    <row r="415" ht="15.75" customHeight="1" s="134">
      <c r="A415" s="2" t="n"/>
      <c r="B415" s="2" t="n"/>
      <c r="C415" s="2" t="n"/>
      <c r="D415" s="2" t="n"/>
      <c r="E415" s="2" t="n"/>
      <c r="F415" s="2" t="n"/>
    </row>
    <row r="416" ht="15.75" customHeight="1" s="134">
      <c r="A416" s="2" t="n"/>
      <c r="B416" s="2" t="n"/>
      <c r="C416" s="2" t="n"/>
      <c r="D416" s="2" t="n"/>
      <c r="E416" s="2" t="n"/>
      <c r="F416" s="2" t="n"/>
    </row>
    <row r="417" ht="15.75" customHeight="1" s="134">
      <c r="A417" s="2" t="n"/>
      <c r="B417" s="2" t="n"/>
      <c r="C417" s="2" t="n"/>
      <c r="D417" s="2" t="n"/>
      <c r="E417" s="2" t="n"/>
      <c r="F417" s="2" t="n"/>
    </row>
    <row r="418" ht="15.75" customHeight="1" s="134">
      <c r="A418" s="2" t="n"/>
      <c r="B418" s="2" t="n"/>
      <c r="C418" s="2" t="n"/>
      <c r="D418" s="2" t="n"/>
      <c r="E418" s="2" t="n"/>
      <c r="F418" s="2" t="n"/>
    </row>
    <row r="419" ht="15.75" customHeight="1" s="134">
      <c r="A419" s="2" t="n"/>
      <c r="B419" s="2" t="n"/>
      <c r="C419" s="2" t="n"/>
      <c r="D419" s="2" t="n"/>
      <c r="E419" s="2" t="n"/>
      <c r="F419" s="2" t="n"/>
    </row>
    <row r="420" ht="15.75" customHeight="1" s="134">
      <c r="A420" s="2" t="n"/>
      <c r="B420" s="2" t="n"/>
      <c r="C420" s="2" t="n"/>
      <c r="D420" s="2" t="n"/>
      <c r="E420" s="2" t="n"/>
      <c r="F420" s="2" t="n"/>
    </row>
    <row r="421" ht="15.75" customHeight="1" s="134">
      <c r="A421" s="2" t="n"/>
      <c r="B421" s="2" t="n"/>
      <c r="C421" s="2" t="n"/>
      <c r="D421" s="2" t="n"/>
      <c r="E421" s="2" t="n"/>
      <c r="F421" s="2" t="n"/>
    </row>
    <row r="422" ht="15.75" customHeight="1" s="134">
      <c r="A422" s="2" t="n"/>
      <c r="B422" s="2" t="n"/>
      <c r="C422" s="2" t="n"/>
      <c r="D422" s="2" t="n"/>
      <c r="E422" s="2" t="n"/>
      <c r="F422" s="2" t="n"/>
    </row>
    <row r="423" ht="15.75" customHeight="1" s="134">
      <c r="A423" s="2" t="n"/>
      <c r="B423" s="2" t="n"/>
      <c r="C423" s="2" t="n"/>
      <c r="D423" s="2" t="n"/>
      <c r="E423" s="2" t="n"/>
      <c r="F423" s="2" t="n"/>
    </row>
    <row r="424" ht="15.75" customHeight="1" s="134">
      <c r="A424" s="2" t="n"/>
      <c r="B424" s="2" t="n"/>
      <c r="C424" s="2" t="n"/>
      <c r="D424" s="2" t="n"/>
      <c r="E424" s="2" t="n"/>
      <c r="F424" s="2" t="n"/>
    </row>
    <row r="425" ht="15.75" customHeight="1" s="134">
      <c r="A425" s="2" t="n"/>
      <c r="B425" s="2" t="n"/>
      <c r="C425" s="2" t="n"/>
      <c r="D425" s="2" t="n"/>
      <c r="E425" s="2" t="n"/>
      <c r="F425" s="2" t="n"/>
    </row>
    <row r="426" ht="15.75" customHeight="1" s="134">
      <c r="A426" s="2" t="n"/>
      <c r="B426" s="2" t="n"/>
      <c r="C426" s="2" t="n"/>
      <c r="D426" s="2" t="n"/>
      <c r="E426" s="2" t="n"/>
      <c r="F426" s="2" t="n"/>
    </row>
    <row r="427" ht="15.75" customHeight="1" s="134">
      <c r="A427" s="2" t="n"/>
      <c r="B427" s="2" t="n"/>
      <c r="C427" s="2" t="n"/>
      <c r="D427" s="2" t="n"/>
      <c r="E427" s="2" t="n"/>
      <c r="F427" s="2" t="n"/>
    </row>
    <row r="428" ht="15.75" customHeight="1" s="134">
      <c r="A428" s="2" t="n"/>
      <c r="B428" s="2" t="n"/>
      <c r="C428" s="2" t="n"/>
      <c r="D428" s="2" t="n"/>
      <c r="E428" s="2" t="n"/>
      <c r="F428" s="2" t="n"/>
    </row>
    <row r="429" ht="15.75" customHeight="1" s="134">
      <c r="A429" s="2" t="n"/>
      <c r="B429" s="2" t="n"/>
      <c r="C429" s="2" t="n"/>
      <c r="D429" s="2" t="n"/>
      <c r="E429" s="2" t="n"/>
      <c r="F429" s="2" t="n"/>
    </row>
    <row r="430" ht="15.75" customHeight="1" s="134">
      <c r="A430" s="2" t="n"/>
      <c r="B430" s="2" t="n"/>
      <c r="C430" s="2" t="n"/>
      <c r="D430" s="2" t="n"/>
      <c r="E430" s="2" t="n"/>
      <c r="F430" s="2" t="n"/>
    </row>
    <row r="431" ht="15.75" customHeight="1" s="134">
      <c r="A431" s="2" t="n"/>
      <c r="B431" s="2" t="n"/>
      <c r="C431" s="2" t="n"/>
      <c r="D431" s="2" t="n"/>
      <c r="E431" s="2" t="n"/>
      <c r="F431" s="2" t="n"/>
    </row>
    <row r="432" ht="15.75" customHeight="1" s="134">
      <c r="A432" s="2" t="n"/>
      <c r="B432" s="2" t="n"/>
      <c r="C432" s="2" t="n"/>
      <c r="D432" s="2" t="n"/>
      <c r="E432" s="2" t="n"/>
      <c r="F432" s="2" t="n"/>
    </row>
    <row r="433" ht="15.75" customHeight="1" s="134">
      <c r="A433" s="2" t="n"/>
      <c r="B433" s="2" t="n"/>
      <c r="C433" s="2" t="n"/>
      <c r="D433" s="2" t="n"/>
      <c r="E433" s="2" t="n"/>
      <c r="F433" s="2" t="n"/>
    </row>
    <row r="434" ht="15.75" customHeight="1" s="134">
      <c r="A434" s="2" t="n"/>
      <c r="B434" s="2" t="n"/>
      <c r="C434" s="2" t="n"/>
      <c r="D434" s="2" t="n"/>
      <c r="E434" s="2" t="n"/>
      <c r="F434" s="2" t="n"/>
    </row>
    <row r="435" ht="15.75" customHeight="1" s="134">
      <c r="A435" s="2" t="n"/>
      <c r="B435" s="2" t="n"/>
      <c r="C435" s="2" t="n"/>
      <c r="D435" s="2" t="n"/>
      <c r="E435" s="2" t="n"/>
      <c r="F435" s="2" t="n"/>
    </row>
    <row r="436" ht="15.75" customHeight="1" s="134">
      <c r="A436" s="2" t="n"/>
      <c r="B436" s="2" t="n"/>
      <c r="C436" s="2" t="n"/>
      <c r="D436" s="2" t="n"/>
      <c r="E436" s="2" t="n"/>
      <c r="F436" s="2" t="n"/>
    </row>
    <row r="437" ht="15.75" customHeight="1" s="134">
      <c r="A437" s="2" t="n"/>
      <c r="B437" s="2" t="n"/>
      <c r="C437" s="2" t="n"/>
      <c r="D437" s="2" t="n"/>
      <c r="E437" s="2" t="n"/>
      <c r="F437" s="2" t="n"/>
    </row>
    <row r="438" ht="15.75" customHeight="1" s="134">
      <c r="A438" s="2" t="n"/>
      <c r="B438" s="2" t="n"/>
      <c r="C438" s="2" t="n"/>
      <c r="D438" s="2" t="n"/>
      <c r="E438" s="2" t="n"/>
      <c r="F438" s="2" t="n"/>
    </row>
    <row r="439" ht="15.75" customHeight="1" s="134">
      <c r="A439" s="2" t="n"/>
      <c r="B439" s="2" t="n"/>
      <c r="C439" s="2" t="n"/>
      <c r="D439" s="2" t="n"/>
      <c r="E439" s="2" t="n"/>
      <c r="F439" s="2" t="n"/>
    </row>
    <row r="440" ht="15.75" customHeight="1" s="134">
      <c r="A440" s="2" t="n"/>
      <c r="B440" s="2" t="n"/>
      <c r="C440" s="2" t="n"/>
      <c r="D440" s="2" t="n"/>
      <c r="E440" s="2" t="n"/>
      <c r="F440" s="2" t="n"/>
    </row>
    <row r="441" ht="15.75" customHeight="1" s="134">
      <c r="A441" s="2" t="n"/>
      <c r="B441" s="2" t="n"/>
      <c r="C441" s="2" t="n"/>
      <c r="D441" s="2" t="n"/>
      <c r="E441" s="2" t="n"/>
      <c r="F441" s="2" t="n"/>
    </row>
    <row r="442" ht="15.75" customHeight="1" s="134">
      <c r="A442" s="2" t="n"/>
      <c r="B442" s="2" t="n"/>
      <c r="C442" s="2" t="n"/>
      <c r="D442" s="2" t="n"/>
      <c r="E442" s="2" t="n"/>
      <c r="F442" s="2" t="n"/>
    </row>
    <row r="443" ht="15.75" customHeight="1" s="134">
      <c r="A443" s="2" t="n"/>
      <c r="B443" s="2" t="n"/>
      <c r="C443" s="2" t="n"/>
      <c r="D443" s="2" t="n"/>
      <c r="E443" s="2" t="n"/>
      <c r="F443" s="2" t="n"/>
    </row>
    <row r="444" ht="15.75" customHeight="1" s="134">
      <c r="A444" s="2" t="n"/>
      <c r="B444" s="2" t="n"/>
      <c r="C444" s="2" t="n"/>
      <c r="D444" s="2" t="n"/>
      <c r="E444" s="2" t="n"/>
      <c r="F444" s="2" t="n"/>
    </row>
    <row r="445" ht="15.75" customHeight="1" s="134">
      <c r="A445" s="2" t="n"/>
      <c r="B445" s="2" t="n"/>
      <c r="C445" s="2" t="n"/>
      <c r="D445" s="2" t="n"/>
      <c r="E445" s="2" t="n"/>
      <c r="F445" s="2" t="n"/>
    </row>
    <row r="446" ht="15.75" customHeight="1" s="134">
      <c r="A446" s="2" t="n"/>
      <c r="B446" s="2" t="n"/>
      <c r="C446" s="2" t="n"/>
      <c r="D446" s="2" t="n"/>
      <c r="E446" s="2" t="n"/>
      <c r="F446" s="2" t="n"/>
    </row>
    <row r="447" ht="15.75" customHeight="1" s="134">
      <c r="A447" s="2" t="n"/>
      <c r="B447" s="2" t="n"/>
      <c r="C447" s="2" t="n"/>
      <c r="D447" s="2" t="n"/>
      <c r="E447" s="2" t="n"/>
      <c r="F447" s="2" t="n"/>
    </row>
    <row r="448" ht="15.75" customHeight="1" s="134">
      <c r="A448" s="2" t="n"/>
      <c r="B448" s="2" t="n"/>
      <c r="C448" s="2" t="n"/>
      <c r="D448" s="2" t="n"/>
      <c r="E448" s="2" t="n"/>
      <c r="F448" s="2" t="n"/>
    </row>
    <row r="449" ht="15.75" customHeight="1" s="134">
      <c r="A449" s="2" t="n"/>
      <c r="B449" s="2" t="n"/>
      <c r="C449" s="2" t="n"/>
      <c r="D449" s="2" t="n"/>
      <c r="E449" s="2" t="n"/>
      <c r="F449" s="2" t="n"/>
    </row>
    <row r="450" ht="15.75" customHeight="1" s="134">
      <c r="A450" s="2" t="n"/>
      <c r="B450" s="2" t="n"/>
      <c r="C450" s="2" t="n"/>
      <c r="D450" s="2" t="n"/>
      <c r="E450" s="2" t="n"/>
      <c r="F450" s="2" t="n"/>
    </row>
    <row r="451" ht="15.75" customHeight="1" s="134">
      <c r="A451" s="2" t="n"/>
      <c r="B451" s="2" t="n"/>
      <c r="C451" s="2" t="n"/>
      <c r="D451" s="2" t="n"/>
      <c r="E451" s="2" t="n"/>
      <c r="F451" s="2" t="n"/>
    </row>
    <row r="452" ht="15.75" customHeight="1" s="134">
      <c r="A452" s="2" t="n"/>
      <c r="B452" s="2" t="n"/>
      <c r="C452" s="2" t="n"/>
      <c r="D452" s="2" t="n"/>
      <c r="E452" s="2" t="n"/>
      <c r="F452" s="2" t="n"/>
    </row>
    <row r="453" ht="15.75" customHeight="1" s="134">
      <c r="A453" s="2" t="n"/>
      <c r="B453" s="2" t="n"/>
      <c r="C453" s="2" t="n"/>
      <c r="D453" s="2" t="n"/>
      <c r="E453" s="2" t="n"/>
      <c r="F453" s="2" t="n"/>
    </row>
    <row r="454" ht="15.75" customHeight="1" s="134">
      <c r="A454" s="2" t="n"/>
      <c r="B454" s="2" t="n"/>
      <c r="C454" s="2" t="n"/>
      <c r="D454" s="2" t="n"/>
      <c r="E454" s="2" t="n"/>
      <c r="F454" s="2" t="n"/>
    </row>
    <row r="455" ht="15.75" customHeight="1" s="134">
      <c r="A455" s="2" t="n"/>
      <c r="B455" s="2" t="n"/>
      <c r="C455" s="2" t="n"/>
      <c r="D455" s="2" t="n"/>
      <c r="E455" s="2" t="n"/>
      <c r="F455" s="2" t="n"/>
    </row>
    <row r="456" ht="15.75" customHeight="1" s="134">
      <c r="A456" s="2" t="n"/>
      <c r="B456" s="2" t="n"/>
      <c r="C456" s="2" t="n"/>
      <c r="D456" s="2" t="n"/>
      <c r="E456" s="2" t="n"/>
      <c r="F456" s="2" t="n"/>
    </row>
    <row r="457" ht="15.75" customHeight="1" s="134">
      <c r="A457" s="2" t="n"/>
      <c r="B457" s="2" t="n"/>
      <c r="C457" s="2" t="n"/>
      <c r="D457" s="2" t="n"/>
      <c r="E457" s="2" t="n"/>
      <c r="F457" s="2" t="n"/>
    </row>
    <row r="458" ht="15.75" customHeight="1" s="134">
      <c r="A458" s="2" t="n"/>
      <c r="B458" s="2" t="n"/>
      <c r="C458" s="2" t="n"/>
      <c r="D458" s="2" t="n"/>
      <c r="E458" s="2" t="n"/>
      <c r="F458" s="2" t="n"/>
    </row>
    <row r="459" ht="15.75" customHeight="1" s="134">
      <c r="A459" s="2" t="n"/>
      <c r="B459" s="2" t="n"/>
      <c r="C459" s="2" t="n"/>
      <c r="D459" s="2" t="n"/>
      <c r="E459" s="2" t="n"/>
      <c r="F459" s="2" t="n"/>
    </row>
    <row r="460" ht="15.75" customHeight="1" s="134">
      <c r="A460" s="2" t="n"/>
      <c r="B460" s="2" t="n"/>
      <c r="C460" s="2" t="n"/>
      <c r="D460" s="2" t="n"/>
      <c r="E460" s="2" t="n"/>
      <c r="F460" s="2" t="n"/>
    </row>
    <row r="461" ht="15.75" customHeight="1" s="134">
      <c r="A461" s="2" t="n"/>
      <c r="B461" s="2" t="n"/>
      <c r="C461" s="2" t="n"/>
      <c r="D461" s="2" t="n"/>
      <c r="E461" s="2" t="n"/>
      <c r="F461" s="2" t="n"/>
    </row>
    <row r="462" ht="15.75" customHeight="1" s="134">
      <c r="A462" s="2" t="n"/>
      <c r="B462" s="2" t="n"/>
      <c r="C462" s="2" t="n"/>
      <c r="D462" s="2" t="n"/>
      <c r="E462" s="2" t="n"/>
      <c r="F462" s="2" t="n"/>
    </row>
    <row r="463" ht="15.75" customHeight="1" s="134">
      <c r="A463" s="2" t="n"/>
      <c r="B463" s="2" t="n"/>
      <c r="C463" s="2" t="n"/>
      <c r="D463" s="2" t="n"/>
      <c r="E463" s="2" t="n"/>
      <c r="F463" s="2" t="n"/>
    </row>
    <row r="464" ht="15.75" customHeight="1" s="134">
      <c r="A464" s="2" t="n"/>
      <c r="B464" s="2" t="n"/>
      <c r="C464" s="2" t="n"/>
      <c r="D464" s="2" t="n"/>
      <c r="E464" s="2" t="n"/>
      <c r="F464" s="2" t="n"/>
    </row>
    <row r="465" ht="15.75" customHeight="1" s="134">
      <c r="A465" s="2" t="n"/>
      <c r="B465" s="2" t="n"/>
      <c r="C465" s="2" t="n"/>
      <c r="D465" s="2" t="n"/>
      <c r="E465" s="2" t="n"/>
      <c r="F465" s="2" t="n"/>
    </row>
    <row r="466" ht="15.75" customHeight="1" s="134">
      <c r="A466" s="2" t="n"/>
      <c r="B466" s="2" t="n"/>
      <c r="C466" s="2" t="n"/>
      <c r="D466" s="2" t="n"/>
      <c r="E466" s="2" t="n"/>
      <c r="F466" s="2" t="n"/>
    </row>
    <row r="467" ht="15.75" customHeight="1" s="134">
      <c r="A467" s="2" t="n"/>
      <c r="B467" s="2" t="n"/>
      <c r="C467" s="2" t="n"/>
      <c r="D467" s="2" t="n"/>
      <c r="E467" s="2" t="n"/>
      <c r="F467" s="2" t="n"/>
    </row>
    <row r="468" ht="15.75" customHeight="1" s="134">
      <c r="A468" s="2" t="n"/>
      <c r="B468" s="2" t="n"/>
      <c r="C468" s="2" t="n"/>
      <c r="D468" s="2" t="n"/>
      <c r="E468" s="2" t="n"/>
      <c r="F468" s="2" t="n"/>
    </row>
    <row r="469" ht="15.75" customHeight="1" s="134">
      <c r="A469" s="2" t="n"/>
      <c r="B469" s="2" t="n"/>
      <c r="C469" s="2" t="n"/>
      <c r="D469" s="2" t="n"/>
      <c r="E469" s="2" t="n"/>
      <c r="F469" s="2" t="n"/>
    </row>
    <row r="470" ht="15.75" customHeight="1" s="134">
      <c r="A470" s="2" t="n"/>
      <c r="B470" s="2" t="n"/>
      <c r="C470" s="2" t="n"/>
      <c r="D470" s="2" t="n"/>
      <c r="E470" s="2" t="n"/>
      <c r="F470" s="2" t="n"/>
    </row>
    <row r="471" ht="15.75" customHeight="1" s="134">
      <c r="A471" s="2" t="n"/>
      <c r="B471" s="2" t="n"/>
      <c r="C471" s="2" t="n"/>
      <c r="D471" s="2" t="n"/>
      <c r="E471" s="2" t="n"/>
      <c r="F471" s="2" t="n"/>
    </row>
    <row r="472" ht="15.75" customHeight="1" s="134">
      <c r="A472" s="2" t="n"/>
      <c r="B472" s="2" t="n"/>
      <c r="C472" s="2" t="n"/>
      <c r="D472" s="2" t="n"/>
      <c r="E472" s="2" t="n"/>
      <c r="F472" s="2" t="n"/>
    </row>
    <row r="473" ht="15.75" customHeight="1" s="134">
      <c r="A473" s="2" t="n"/>
      <c r="B473" s="2" t="n"/>
      <c r="C473" s="2" t="n"/>
      <c r="D473" s="2" t="n"/>
      <c r="E473" s="2" t="n"/>
      <c r="F473" s="2" t="n"/>
    </row>
    <row r="474" ht="15.75" customHeight="1" s="134">
      <c r="A474" s="2" t="n"/>
      <c r="B474" s="2" t="n"/>
      <c r="C474" s="2" t="n"/>
      <c r="D474" s="2" t="n"/>
      <c r="E474" s="2" t="n"/>
      <c r="F474" s="2" t="n"/>
    </row>
    <row r="475" ht="15.75" customHeight="1" s="134">
      <c r="A475" s="2" t="n"/>
      <c r="B475" s="2" t="n"/>
      <c r="C475" s="2" t="n"/>
      <c r="D475" s="2" t="n"/>
      <c r="E475" s="2" t="n"/>
      <c r="F475" s="2" t="n"/>
    </row>
    <row r="476" ht="15.75" customHeight="1" s="134">
      <c r="A476" s="2" t="n"/>
      <c r="B476" s="2" t="n"/>
      <c r="C476" s="2" t="n"/>
      <c r="D476" s="2" t="n"/>
      <c r="E476" s="2" t="n"/>
      <c r="F476" s="2" t="n"/>
    </row>
    <row r="477" ht="15.75" customHeight="1" s="134">
      <c r="A477" s="2" t="n"/>
      <c r="B477" s="2" t="n"/>
      <c r="C477" s="2" t="n"/>
      <c r="D477" s="2" t="n"/>
      <c r="E477" s="2" t="n"/>
      <c r="F477" s="2" t="n"/>
    </row>
    <row r="478" ht="15.75" customHeight="1" s="134">
      <c r="A478" s="2" t="n"/>
      <c r="B478" s="2" t="n"/>
      <c r="C478" s="2" t="n"/>
      <c r="D478" s="2" t="n"/>
      <c r="E478" s="2" t="n"/>
      <c r="F478" s="2" t="n"/>
    </row>
    <row r="479" ht="15.75" customHeight="1" s="134">
      <c r="A479" s="2" t="n"/>
      <c r="B479" s="2" t="n"/>
      <c r="C479" s="2" t="n"/>
      <c r="D479" s="2" t="n"/>
      <c r="E479" s="2" t="n"/>
      <c r="F479" s="2" t="n"/>
    </row>
    <row r="480" ht="15.75" customHeight="1" s="134">
      <c r="A480" s="2" t="n"/>
      <c r="B480" s="2" t="n"/>
      <c r="C480" s="2" t="n"/>
      <c r="D480" s="2" t="n"/>
      <c r="E480" s="2" t="n"/>
      <c r="F480" s="2" t="n"/>
    </row>
    <row r="481" ht="15.75" customHeight="1" s="134">
      <c r="A481" s="2" t="n"/>
      <c r="B481" s="2" t="n"/>
      <c r="C481" s="2" t="n"/>
      <c r="D481" s="2" t="n"/>
      <c r="E481" s="2" t="n"/>
      <c r="F481" s="2" t="n"/>
    </row>
    <row r="482" ht="15.75" customHeight="1" s="134">
      <c r="A482" s="2" t="n"/>
      <c r="B482" s="2" t="n"/>
      <c r="C482" s="2" t="n"/>
      <c r="D482" s="2" t="n"/>
      <c r="E482" s="2" t="n"/>
      <c r="F482" s="2" t="n"/>
    </row>
    <row r="483" ht="15.75" customHeight="1" s="134">
      <c r="A483" s="2" t="n"/>
      <c r="B483" s="2" t="n"/>
      <c r="C483" s="2" t="n"/>
      <c r="D483" s="2" t="n"/>
      <c r="E483" s="2" t="n"/>
      <c r="F483" s="2" t="n"/>
    </row>
    <row r="484" ht="15.75" customHeight="1" s="134">
      <c r="A484" s="2" t="n"/>
      <c r="B484" s="2" t="n"/>
      <c r="C484" s="2" t="n"/>
      <c r="D484" s="2" t="n"/>
      <c r="E484" s="2" t="n"/>
      <c r="F484" s="2" t="n"/>
    </row>
    <row r="485" ht="15.75" customHeight="1" s="134">
      <c r="A485" s="2" t="n"/>
      <c r="B485" s="2" t="n"/>
      <c r="C485" s="2" t="n"/>
      <c r="D485" s="2" t="n"/>
      <c r="E485" s="2" t="n"/>
      <c r="F485" s="2" t="n"/>
    </row>
    <row r="486" ht="15.75" customHeight="1" s="134">
      <c r="A486" s="2" t="n"/>
      <c r="B486" s="2" t="n"/>
      <c r="C486" s="2" t="n"/>
      <c r="D486" s="2" t="n"/>
      <c r="E486" s="2" t="n"/>
      <c r="F486" s="2" t="n"/>
    </row>
    <row r="487" ht="15.75" customHeight="1" s="134">
      <c r="A487" s="2" t="n"/>
      <c r="B487" s="2" t="n"/>
      <c r="C487" s="2" t="n"/>
      <c r="D487" s="2" t="n"/>
      <c r="E487" s="2" t="n"/>
      <c r="F487" s="2" t="n"/>
    </row>
    <row r="488" ht="15.75" customHeight="1" s="134">
      <c r="A488" s="2" t="n"/>
      <c r="B488" s="2" t="n"/>
      <c r="C488" s="2" t="n"/>
      <c r="D488" s="2" t="n"/>
      <c r="E488" s="2" t="n"/>
      <c r="F488" s="2" t="n"/>
    </row>
    <row r="489" ht="15.75" customHeight="1" s="134">
      <c r="A489" s="2" t="n"/>
      <c r="B489" s="2" t="n"/>
      <c r="C489" s="2" t="n"/>
      <c r="D489" s="2" t="n"/>
      <c r="E489" s="2" t="n"/>
      <c r="F489" s="2" t="n"/>
    </row>
    <row r="490" ht="15.75" customHeight="1" s="134">
      <c r="A490" s="2" t="n"/>
      <c r="B490" s="2" t="n"/>
      <c r="C490" s="2" t="n"/>
      <c r="D490" s="2" t="n"/>
      <c r="E490" s="2" t="n"/>
      <c r="F490" s="2" t="n"/>
    </row>
    <row r="491" ht="15.75" customHeight="1" s="134">
      <c r="A491" s="2" t="n"/>
      <c r="B491" s="2" t="n"/>
      <c r="C491" s="2" t="n"/>
      <c r="D491" s="2" t="n"/>
      <c r="E491" s="2" t="n"/>
      <c r="F491" s="2" t="n"/>
    </row>
    <row r="492" ht="15.75" customHeight="1" s="134">
      <c r="A492" s="2" t="n"/>
      <c r="B492" s="2" t="n"/>
      <c r="C492" s="2" t="n"/>
      <c r="D492" s="2" t="n"/>
      <c r="E492" s="2" t="n"/>
      <c r="F492" s="2" t="n"/>
    </row>
    <row r="493" ht="15.75" customHeight="1" s="134">
      <c r="A493" s="2" t="n"/>
      <c r="B493" s="2" t="n"/>
      <c r="C493" s="2" t="n"/>
      <c r="D493" s="2" t="n"/>
      <c r="E493" s="2" t="n"/>
      <c r="F493" s="2" t="n"/>
    </row>
    <row r="494" ht="15.75" customHeight="1" s="134">
      <c r="A494" s="2" t="n"/>
      <c r="B494" s="2" t="n"/>
      <c r="C494" s="2" t="n"/>
      <c r="D494" s="2" t="n"/>
      <c r="E494" s="2" t="n"/>
      <c r="F494" s="2" t="n"/>
    </row>
    <row r="495" ht="15.75" customHeight="1" s="134">
      <c r="A495" s="2" t="n"/>
      <c r="B495" s="2" t="n"/>
      <c r="C495" s="2" t="n"/>
      <c r="D495" s="2" t="n"/>
      <c r="E495" s="2" t="n"/>
      <c r="F495" s="2" t="n"/>
    </row>
    <row r="496" ht="15.75" customHeight="1" s="134">
      <c r="A496" s="2" t="n"/>
      <c r="B496" s="2" t="n"/>
      <c r="C496" s="2" t="n"/>
      <c r="D496" s="2" t="n"/>
      <c r="E496" s="2" t="n"/>
      <c r="F496" s="2" t="n"/>
    </row>
    <row r="497" ht="15.75" customHeight="1" s="134">
      <c r="A497" s="2" t="n"/>
      <c r="B497" s="2" t="n"/>
      <c r="C497" s="2" t="n"/>
      <c r="D497" s="2" t="n"/>
      <c r="E497" s="2" t="n"/>
      <c r="F497" s="2" t="n"/>
    </row>
    <row r="498" ht="15.75" customHeight="1" s="134">
      <c r="A498" s="2" t="n"/>
      <c r="B498" s="2" t="n"/>
      <c r="C498" s="2" t="n"/>
      <c r="D498" s="2" t="n"/>
      <c r="E498" s="2" t="n"/>
      <c r="F498" s="2" t="n"/>
    </row>
    <row r="499" ht="15.75" customHeight="1" s="134">
      <c r="A499" s="2" t="n"/>
      <c r="B499" s="2" t="n"/>
      <c r="C499" s="2" t="n"/>
      <c r="D499" s="2" t="n"/>
      <c r="E499" s="2" t="n"/>
      <c r="F499" s="2" t="n"/>
    </row>
    <row r="500" ht="15.75" customHeight="1" s="134">
      <c r="A500" s="2" t="n"/>
      <c r="B500" s="2" t="n"/>
      <c r="C500" s="2" t="n"/>
      <c r="D500" s="2" t="n"/>
      <c r="E500" s="2" t="n"/>
      <c r="F500" s="2" t="n"/>
    </row>
    <row r="501" ht="15.75" customHeight="1" s="134">
      <c r="A501" s="2" t="n"/>
      <c r="B501" s="2" t="n"/>
      <c r="C501" s="2" t="n"/>
      <c r="D501" s="2" t="n"/>
      <c r="E501" s="2" t="n"/>
      <c r="F501" s="2" t="n"/>
    </row>
    <row r="502" ht="15.75" customHeight="1" s="134">
      <c r="A502" s="2" t="n"/>
      <c r="B502" s="2" t="n"/>
      <c r="C502" s="2" t="n"/>
      <c r="D502" s="2" t="n"/>
      <c r="E502" s="2" t="n"/>
      <c r="F502" s="2" t="n"/>
    </row>
    <row r="503" ht="15.75" customHeight="1" s="134">
      <c r="A503" s="2" t="n"/>
      <c r="B503" s="2" t="n"/>
      <c r="C503" s="2" t="n"/>
      <c r="D503" s="2" t="n"/>
      <c r="E503" s="2" t="n"/>
      <c r="F503" s="2" t="n"/>
    </row>
    <row r="504" ht="15.75" customHeight="1" s="134">
      <c r="A504" s="2" t="n"/>
      <c r="B504" s="2" t="n"/>
      <c r="C504" s="2" t="n"/>
      <c r="D504" s="2" t="n"/>
      <c r="E504" s="2" t="n"/>
      <c r="F504" s="2" t="n"/>
    </row>
    <row r="505" ht="15.75" customHeight="1" s="134">
      <c r="A505" s="2" t="n"/>
      <c r="B505" s="2" t="n"/>
      <c r="C505" s="2" t="n"/>
      <c r="D505" s="2" t="n"/>
      <c r="E505" s="2" t="n"/>
      <c r="F505" s="2" t="n"/>
    </row>
    <row r="506" ht="15.75" customHeight="1" s="134">
      <c r="A506" s="2" t="n"/>
      <c r="B506" s="2" t="n"/>
      <c r="C506" s="2" t="n"/>
      <c r="D506" s="2" t="n"/>
      <c r="E506" s="2" t="n"/>
      <c r="F506" s="2" t="n"/>
    </row>
    <row r="507" ht="15.75" customHeight="1" s="134">
      <c r="A507" s="2" t="n"/>
      <c r="B507" s="2" t="n"/>
      <c r="C507" s="2" t="n"/>
      <c r="D507" s="2" t="n"/>
      <c r="E507" s="2" t="n"/>
      <c r="F507" s="2" t="n"/>
    </row>
    <row r="508" ht="15.75" customHeight="1" s="134">
      <c r="A508" s="2" t="n"/>
      <c r="B508" s="2" t="n"/>
      <c r="C508" s="2" t="n"/>
      <c r="D508" s="2" t="n"/>
      <c r="E508" s="2" t="n"/>
      <c r="F508" s="2" t="n"/>
    </row>
    <row r="509" ht="15.75" customHeight="1" s="134">
      <c r="A509" s="2" t="n"/>
      <c r="B509" s="2" t="n"/>
      <c r="C509" s="2" t="n"/>
      <c r="D509" s="2" t="n"/>
      <c r="E509" s="2" t="n"/>
      <c r="F509" s="2" t="n"/>
    </row>
    <row r="510" ht="15.75" customHeight="1" s="134">
      <c r="A510" s="2" t="n"/>
      <c r="B510" s="2" t="n"/>
      <c r="C510" s="2" t="n"/>
      <c r="D510" s="2" t="n"/>
      <c r="E510" s="2" t="n"/>
      <c r="F510" s="2" t="n"/>
    </row>
    <row r="511" ht="15.75" customHeight="1" s="134">
      <c r="A511" s="2" t="n"/>
      <c r="B511" s="2" t="n"/>
      <c r="C511" s="2" t="n"/>
      <c r="D511" s="2" t="n"/>
      <c r="E511" s="2" t="n"/>
      <c r="F511" s="2" t="n"/>
    </row>
    <row r="512" ht="15.75" customHeight="1" s="134">
      <c r="A512" s="2" t="n"/>
      <c r="B512" s="2" t="n"/>
      <c r="C512" s="2" t="n"/>
      <c r="D512" s="2" t="n"/>
      <c r="E512" s="2" t="n"/>
      <c r="F512" s="2" t="n"/>
    </row>
    <row r="513" ht="15.75" customHeight="1" s="134">
      <c r="A513" s="2" t="n"/>
      <c r="B513" s="2" t="n"/>
      <c r="C513" s="2" t="n"/>
      <c r="D513" s="2" t="n"/>
      <c r="E513" s="2" t="n"/>
      <c r="F513" s="2" t="n"/>
    </row>
    <row r="514" ht="15.75" customHeight="1" s="134">
      <c r="A514" s="2" t="n"/>
      <c r="B514" s="2" t="n"/>
      <c r="C514" s="2" t="n"/>
      <c r="D514" s="2" t="n"/>
      <c r="E514" s="2" t="n"/>
      <c r="F514" s="2" t="n"/>
    </row>
    <row r="515" ht="15.75" customHeight="1" s="134">
      <c r="A515" s="2" t="n"/>
      <c r="B515" s="2" t="n"/>
      <c r="C515" s="2" t="n"/>
      <c r="D515" s="2" t="n"/>
      <c r="E515" s="2" t="n"/>
      <c r="F515" s="2" t="n"/>
    </row>
    <row r="516" ht="15.75" customHeight="1" s="134">
      <c r="A516" s="2" t="n"/>
      <c r="B516" s="2" t="n"/>
      <c r="C516" s="2" t="n"/>
      <c r="D516" s="2" t="n"/>
      <c r="E516" s="2" t="n"/>
      <c r="F516" s="2" t="n"/>
    </row>
    <row r="517" ht="15.75" customHeight="1" s="134">
      <c r="A517" s="2" t="n"/>
      <c r="B517" s="2" t="n"/>
      <c r="C517" s="2" t="n"/>
      <c r="D517" s="2" t="n"/>
      <c r="E517" s="2" t="n"/>
      <c r="F517" s="2" t="n"/>
    </row>
    <row r="518" ht="15.75" customHeight="1" s="134">
      <c r="A518" s="2" t="n"/>
      <c r="B518" s="2" t="n"/>
      <c r="C518" s="2" t="n"/>
      <c r="D518" s="2" t="n"/>
      <c r="E518" s="2" t="n"/>
      <c r="F518" s="2" t="n"/>
    </row>
    <row r="519" ht="15.75" customHeight="1" s="134">
      <c r="A519" s="2" t="n"/>
      <c r="B519" s="2" t="n"/>
      <c r="C519" s="2" t="n"/>
      <c r="D519" s="2" t="n"/>
      <c r="E519" s="2" t="n"/>
      <c r="F519" s="2" t="n"/>
    </row>
    <row r="520" ht="15.75" customHeight="1" s="134">
      <c r="A520" s="2" t="n"/>
      <c r="B520" s="2" t="n"/>
      <c r="C520" s="2" t="n"/>
      <c r="D520" s="2" t="n"/>
      <c r="E520" s="2" t="n"/>
      <c r="F520" s="2" t="n"/>
    </row>
    <row r="521" ht="15.75" customHeight="1" s="134">
      <c r="A521" s="2" t="n"/>
      <c r="B521" s="2" t="n"/>
      <c r="C521" s="2" t="n"/>
      <c r="D521" s="2" t="n"/>
      <c r="E521" s="2" t="n"/>
      <c r="F521" s="2" t="n"/>
    </row>
    <row r="522" ht="15.75" customHeight="1" s="134">
      <c r="A522" s="2" t="n"/>
      <c r="B522" s="2" t="n"/>
      <c r="C522" s="2" t="n"/>
      <c r="D522" s="2" t="n"/>
      <c r="E522" s="2" t="n"/>
      <c r="F522" s="2" t="n"/>
    </row>
    <row r="523" ht="15.75" customHeight="1" s="134">
      <c r="A523" s="2" t="n"/>
      <c r="B523" s="2" t="n"/>
      <c r="C523" s="2" t="n"/>
      <c r="D523" s="2" t="n"/>
      <c r="E523" s="2" t="n"/>
      <c r="F523" s="2" t="n"/>
    </row>
    <row r="524" ht="15.75" customHeight="1" s="134">
      <c r="A524" s="2" t="n"/>
      <c r="B524" s="2" t="n"/>
      <c r="C524" s="2" t="n"/>
      <c r="D524" s="2" t="n"/>
      <c r="E524" s="2" t="n"/>
      <c r="F524" s="2" t="n"/>
    </row>
    <row r="525" ht="15.75" customHeight="1" s="134">
      <c r="A525" s="2" t="n"/>
      <c r="B525" s="2" t="n"/>
      <c r="C525" s="2" t="n"/>
      <c r="D525" s="2" t="n"/>
      <c r="E525" s="2" t="n"/>
      <c r="F525" s="2" t="n"/>
    </row>
    <row r="526" ht="15.75" customHeight="1" s="134">
      <c r="A526" s="2" t="n"/>
      <c r="B526" s="2" t="n"/>
      <c r="C526" s="2" t="n"/>
      <c r="D526" s="2" t="n"/>
      <c r="E526" s="2" t="n"/>
      <c r="F526" s="2" t="n"/>
    </row>
    <row r="527" ht="15.75" customHeight="1" s="134">
      <c r="A527" s="2" t="n"/>
      <c r="B527" s="2" t="n"/>
      <c r="C527" s="2" t="n"/>
      <c r="D527" s="2" t="n"/>
      <c r="E527" s="2" t="n"/>
      <c r="F527" s="2" t="n"/>
    </row>
    <row r="528" ht="15.75" customHeight="1" s="134">
      <c r="A528" s="2" t="n"/>
      <c r="B528" s="2" t="n"/>
      <c r="C528" s="2" t="n"/>
      <c r="D528" s="2" t="n"/>
      <c r="E528" s="2" t="n"/>
      <c r="F528" s="2" t="n"/>
    </row>
    <row r="529" ht="15.75" customHeight="1" s="134">
      <c r="A529" s="2" t="n"/>
      <c r="B529" s="2" t="n"/>
      <c r="C529" s="2" t="n"/>
      <c r="D529" s="2" t="n"/>
      <c r="E529" s="2" t="n"/>
      <c r="F529" s="2" t="n"/>
    </row>
    <row r="530" ht="15.75" customHeight="1" s="134">
      <c r="A530" s="2" t="n"/>
      <c r="B530" s="2" t="n"/>
      <c r="C530" s="2" t="n"/>
      <c r="D530" s="2" t="n"/>
      <c r="E530" s="2" t="n"/>
      <c r="F530" s="2" t="n"/>
    </row>
    <row r="531" ht="15.75" customHeight="1" s="134">
      <c r="A531" s="2" t="n"/>
      <c r="B531" s="2" t="n"/>
      <c r="C531" s="2" t="n"/>
      <c r="D531" s="2" t="n"/>
      <c r="E531" s="2" t="n"/>
      <c r="F531" s="2" t="n"/>
    </row>
    <row r="532" ht="15.75" customHeight="1" s="134">
      <c r="A532" s="2" t="n"/>
      <c r="B532" s="2" t="n"/>
      <c r="C532" s="2" t="n"/>
      <c r="D532" s="2" t="n"/>
      <c r="E532" s="2" t="n"/>
      <c r="F532" s="2" t="n"/>
    </row>
    <row r="533" ht="15.75" customHeight="1" s="134">
      <c r="A533" s="2" t="n"/>
      <c r="B533" s="2" t="n"/>
      <c r="C533" s="2" t="n"/>
      <c r="D533" s="2" t="n"/>
      <c r="E533" s="2" t="n"/>
      <c r="F533" s="2" t="n"/>
    </row>
    <row r="534" ht="15.75" customHeight="1" s="134">
      <c r="A534" s="2" t="n"/>
      <c r="B534" s="2" t="n"/>
      <c r="C534" s="2" t="n"/>
      <c r="D534" s="2" t="n"/>
      <c r="E534" s="2" t="n"/>
      <c r="F534" s="2" t="n"/>
    </row>
    <row r="535" ht="15.75" customHeight="1" s="134">
      <c r="A535" s="2" t="n"/>
      <c r="B535" s="2" t="n"/>
      <c r="C535" s="2" t="n"/>
      <c r="D535" s="2" t="n"/>
      <c r="E535" s="2" t="n"/>
      <c r="F535" s="2" t="n"/>
    </row>
    <row r="536" ht="15.75" customHeight="1" s="134">
      <c r="A536" s="2" t="n"/>
      <c r="B536" s="2" t="n"/>
      <c r="C536" s="2" t="n"/>
      <c r="D536" s="2" t="n"/>
      <c r="E536" s="2" t="n"/>
      <c r="F536" s="2" t="n"/>
    </row>
    <row r="537" ht="15.75" customHeight="1" s="134">
      <c r="A537" s="2" t="n"/>
      <c r="B537" s="2" t="n"/>
      <c r="C537" s="2" t="n"/>
      <c r="D537" s="2" t="n"/>
      <c r="E537" s="2" t="n"/>
      <c r="F537" s="2" t="n"/>
    </row>
    <row r="538" ht="15.75" customHeight="1" s="134">
      <c r="A538" s="2" t="n"/>
      <c r="B538" s="2" t="n"/>
      <c r="C538" s="2" t="n"/>
      <c r="D538" s="2" t="n"/>
      <c r="E538" s="2" t="n"/>
      <c r="F538" s="2" t="n"/>
    </row>
    <row r="539" ht="15.75" customHeight="1" s="134">
      <c r="A539" s="2" t="n"/>
      <c r="B539" s="2" t="n"/>
      <c r="C539" s="2" t="n"/>
      <c r="D539" s="2" t="n"/>
      <c r="E539" s="2" t="n"/>
      <c r="F539" s="2" t="n"/>
    </row>
    <row r="540" ht="15.75" customHeight="1" s="134">
      <c r="A540" s="2" t="n"/>
      <c r="B540" s="2" t="n"/>
      <c r="C540" s="2" t="n"/>
      <c r="D540" s="2" t="n"/>
      <c r="E540" s="2" t="n"/>
      <c r="F540" s="2" t="n"/>
    </row>
    <row r="541" ht="15.75" customHeight="1" s="134">
      <c r="A541" s="2" t="n"/>
      <c r="B541" s="2" t="n"/>
      <c r="C541" s="2" t="n"/>
      <c r="D541" s="2" t="n"/>
      <c r="E541" s="2" t="n"/>
      <c r="F541" s="2" t="n"/>
    </row>
    <row r="542" ht="15.75" customHeight="1" s="134">
      <c r="A542" s="2" t="n"/>
      <c r="B542" s="2" t="n"/>
      <c r="C542" s="2" t="n"/>
      <c r="D542" s="2" t="n"/>
      <c r="E542" s="2" t="n"/>
      <c r="F542" s="2" t="n"/>
    </row>
    <row r="543" ht="15.75" customHeight="1" s="134">
      <c r="A543" s="2" t="n"/>
      <c r="B543" s="2" t="n"/>
      <c r="C543" s="2" t="n"/>
      <c r="D543" s="2" t="n"/>
      <c r="E543" s="2" t="n"/>
      <c r="F543" s="2" t="n"/>
    </row>
    <row r="544" ht="15.75" customHeight="1" s="134">
      <c r="A544" s="2" t="n"/>
      <c r="B544" s="2" t="n"/>
      <c r="C544" s="2" t="n"/>
      <c r="D544" s="2" t="n"/>
      <c r="E544" s="2" t="n"/>
      <c r="F544" s="2" t="n"/>
    </row>
    <row r="545" ht="15.75" customHeight="1" s="134">
      <c r="A545" s="2" t="n"/>
      <c r="B545" s="2" t="n"/>
      <c r="C545" s="2" t="n"/>
      <c r="D545" s="2" t="n"/>
      <c r="E545" s="2" t="n"/>
      <c r="F545" s="2" t="n"/>
    </row>
    <row r="546" ht="15.75" customHeight="1" s="134">
      <c r="A546" s="2" t="n"/>
      <c r="B546" s="2" t="n"/>
      <c r="C546" s="2" t="n"/>
      <c r="D546" s="2" t="n"/>
      <c r="E546" s="2" t="n"/>
      <c r="F546" s="2" t="n"/>
    </row>
    <row r="547" ht="15.75" customHeight="1" s="134">
      <c r="A547" s="2" t="n"/>
      <c r="B547" s="2" t="n"/>
      <c r="C547" s="2" t="n"/>
      <c r="D547" s="2" t="n"/>
      <c r="E547" s="2" t="n"/>
      <c r="F547" s="2" t="n"/>
    </row>
    <row r="548" ht="15.75" customHeight="1" s="134">
      <c r="A548" s="2" t="n"/>
      <c r="B548" s="2" t="n"/>
      <c r="C548" s="2" t="n"/>
      <c r="D548" s="2" t="n"/>
      <c r="E548" s="2" t="n"/>
      <c r="F548" s="2" t="n"/>
    </row>
    <row r="549" ht="15.75" customHeight="1" s="134">
      <c r="A549" s="2" t="n"/>
      <c r="B549" s="2" t="n"/>
      <c r="C549" s="2" t="n"/>
      <c r="D549" s="2" t="n"/>
      <c r="E549" s="2" t="n"/>
      <c r="F549" s="2" t="n"/>
    </row>
    <row r="550" ht="15.75" customHeight="1" s="134">
      <c r="A550" s="2" t="n"/>
      <c r="B550" s="2" t="n"/>
      <c r="C550" s="2" t="n"/>
      <c r="D550" s="2" t="n"/>
      <c r="E550" s="2" t="n"/>
      <c r="F550" s="2" t="n"/>
    </row>
    <row r="551" ht="15.75" customHeight="1" s="134">
      <c r="A551" s="2" t="n"/>
      <c r="B551" s="2" t="n"/>
      <c r="C551" s="2" t="n"/>
      <c r="D551" s="2" t="n"/>
      <c r="E551" s="2" t="n"/>
      <c r="F551" s="2" t="n"/>
    </row>
    <row r="552" ht="15.75" customHeight="1" s="134">
      <c r="A552" s="2" t="n"/>
      <c r="B552" s="2" t="n"/>
      <c r="C552" s="2" t="n"/>
      <c r="D552" s="2" t="n"/>
      <c r="E552" s="2" t="n"/>
      <c r="F552" s="2" t="n"/>
    </row>
    <row r="553" ht="15.75" customHeight="1" s="134">
      <c r="A553" s="2" t="n"/>
      <c r="B553" s="2" t="n"/>
      <c r="C553" s="2" t="n"/>
      <c r="D553" s="2" t="n"/>
      <c r="E553" s="2" t="n"/>
      <c r="F553" s="2" t="n"/>
    </row>
    <row r="554" ht="15.75" customHeight="1" s="134">
      <c r="A554" s="2" t="n"/>
      <c r="B554" s="2" t="n"/>
      <c r="C554" s="2" t="n"/>
      <c r="D554" s="2" t="n"/>
      <c r="E554" s="2" t="n"/>
      <c r="F554" s="2" t="n"/>
    </row>
    <row r="555" ht="15.75" customHeight="1" s="134">
      <c r="A555" s="2" t="n"/>
      <c r="B555" s="2" t="n"/>
      <c r="C555" s="2" t="n"/>
      <c r="D555" s="2" t="n"/>
      <c r="E555" s="2" t="n"/>
      <c r="F555" s="2" t="n"/>
    </row>
    <row r="556" ht="15.75" customHeight="1" s="134">
      <c r="A556" s="2" t="n"/>
      <c r="B556" s="2" t="n"/>
      <c r="C556" s="2" t="n"/>
      <c r="D556" s="2" t="n"/>
      <c r="E556" s="2" t="n"/>
      <c r="F556" s="2" t="n"/>
    </row>
    <row r="557" ht="15.75" customHeight="1" s="134">
      <c r="A557" s="2" t="n"/>
      <c r="B557" s="2" t="n"/>
      <c r="C557" s="2" t="n"/>
      <c r="D557" s="2" t="n"/>
      <c r="E557" s="2" t="n"/>
      <c r="F557" s="2" t="n"/>
    </row>
    <row r="558" ht="15.75" customHeight="1" s="134">
      <c r="A558" s="2" t="n"/>
      <c r="B558" s="2" t="n"/>
      <c r="C558" s="2" t="n"/>
      <c r="D558" s="2" t="n"/>
      <c r="E558" s="2" t="n"/>
      <c r="F558" s="2" t="n"/>
    </row>
    <row r="559" ht="15.75" customHeight="1" s="134">
      <c r="A559" s="2" t="n"/>
      <c r="B559" s="2" t="n"/>
      <c r="C559" s="2" t="n"/>
      <c r="D559" s="2" t="n"/>
      <c r="E559" s="2" t="n"/>
      <c r="F559" s="2" t="n"/>
    </row>
    <row r="560" ht="15.75" customHeight="1" s="134">
      <c r="A560" s="2" t="n"/>
      <c r="B560" s="2" t="n"/>
      <c r="C560" s="2" t="n"/>
      <c r="D560" s="2" t="n"/>
      <c r="E560" s="2" t="n"/>
      <c r="F560" s="2" t="n"/>
    </row>
    <row r="561" ht="15.75" customHeight="1" s="134">
      <c r="A561" s="2" t="n"/>
      <c r="B561" s="2" t="n"/>
      <c r="C561" s="2" t="n"/>
      <c r="D561" s="2" t="n"/>
      <c r="E561" s="2" t="n"/>
      <c r="F561" s="2" t="n"/>
    </row>
    <row r="562" ht="15.75" customHeight="1" s="134">
      <c r="A562" s="2" t="n"/>
      <c r="B562" s="2" t="n"/>
      <c r="C562" s="2" t="n"/>
      <c r="D562" s="2" t="n"/>
      <c r="E562" s="2" t="n"/>
      <c r="F562" s="2" t="n"/>
    </row>
    <row r="563" ht="15.75" customHeight="1" s="134">
      <c r="A563" s="2" t="n"/>
      <c r="B563" s="2" t="n"/>
      <c r="C563" s="2" t="n"/>
      <c r="D563" s="2" t="n"/>
      <c r="E563" s="2" t="n"/>
      <c r="F563" s="2" t="n"/>
    </row>
    <row r="564" ht="15.75" customHeight="1" s="134">
      <c r="A564" s="2" t="n"/>
      <c r="B564" s="2" t="n"/>
      <c r="C564" s="2" t="n"/>
      <c r="D564" s="2" t="n"/>
      <c r="E564" s="2" t="n"/>
      <c r="F564" s="2" t="n"/>
    </row>
    <row r="565" ht="15.75" customHeight="1" s="134">
      <c r="A565" s="2" t="n"/>
      <c r="B565" s="2" t="n"/>
      <c r="C565" s="2" t="n"/>
      <c r="D565" s="2" t="n"/>
      <c r="E565" s="2" t="n"/>
      <c r="F565" s="2" t="n"/>
    </row>
    <row r="566" ht="15.75" customHeight="1" s="134">
      <c r="A566" s="2" t="n"/>
      <c r="B566" s="2" t="n"/>
      <c r="C566" s="2" t="n"/>
      <c r="D566" s="2" t="n"/>
      <c r="E566" s="2" t="n"/>
      <c r="F566" s="2" t="n"/>
    </row>
    <row r="567" ht="15.75" customHeight="1" s="134">
      <c r="A567" s="2" t="n"/>
      <c r="B567" s="2" t="n"/>
      <c r="C567" s="2" t="n"/>
      <c r="D567" s="2" t="n"/>
      <c r="E567" s="2" t="n"/>
      <c r="F567" s="2" t="n"/>
    </row>
    <row r="568" ht="15.75" customHeight="1" s="134">
      <c r="A568" s="2" t="n"/>
      <c r="B568" s="2" t="n"/>
      <c r="C568" s="2" t="n"/>
      <c r="D568" s="2" t="n"/>
      <c r="E568" s="2" t="n"/>
      <c r="F568" s="2" t="n"/>
    </row>
    <row r="569" ht="15.75" customHeight="1" s="134">
      <c r="A569" s="2" t="n"/>
      <c r="B569" s="2" t="n"/>
      <c r="C569" s="2" t="n"/>
      <c r="D569" s="2" t="n"/>
      <c r="E569" s="2" t="n"/>
      <c r="F569" s="2" t="n"/>
    </row>
    <row r="570" ht="15.75" customHeight="1" s="134">
      <c r="A570" s="2" t="n"/>
      <c r="B570" s="2" t="n"/>
      <c r="C570" s="2" t="n"/>
      <c r="D570" s="2" t="n"/>
      <c r="E570" s="2" t="n"/>
      <c r="F570" s="2" t="n"/>
    </row>
    <row r="571" ht="15.75" customHeight="1" s="134">
      <c r="A571" s="2" t="n"/>
      <c r="B571" s="2" t="n"/>
      <c r="C571" s="2" t="n"/>
      <c r="D571" s="2" t="n"/>
      <c r="E571" s="2" t="n"/>
      <c r="F571" s="2" t="n"/>
    </row>
    <row r="572" ht="15.75" customHeight="1" s="134">
      <c r="A572" s="2" t="n"/>
      <c r="B572" s="2" t="n"/>
      <c r="C572" s="2" t="n"/>
      <c r="D572" s="2" t="n"/>
      <c r="E572" s="2" t="n"/>
      <c r="F572" s="2" t="n"/>
    </row>
    <row r="573" ht="15.75" customHeight="1" s="134">
      <c r="A573" s="2" t="n"/>
      <c r="B573" s="2" t="n"/>
      <c r="C573" s="2" t="n"/>
      <c r="D573" s="2" t="n"/>
      <c r="E573" s="2" t="n"/>
      <c r="F573" s="2" t="n"/>
    </row>
    <row r="574" ht="15.75" customHeight="1" s="134">
      <c r="A574" s="2" t="n"/>
      <c r="B574" s="2" t="n"/>
      <c r="C574" s="2" t="n"/>
      <c r="D574" s="2" t="n"/>
      <c r="E574" s="2" t="n"/>
      <c r="F574" s="2" t="n"/>
    </row>
    <row r="575" ht="15.75" customHeight="1" s="134">
      <c r="A575" s="2" t="n"/>
      <c r="B575" s="2" t="n"/>
      <c r="C575" s="2" t="n"/>
      <c r="D575" s="2" t="n"/>
      <c r="E575" s="2" t="n"/>
      <c r="F575" s="2" t="n"/>
    </row>
    <row r="576" ht="15.75" customHeight="1" s="134">
      <c r="A576" s="2" t="n"/>
      <c r="B576" s="2" t="n"/>
      <c r="C576" s="2" t="n"/>
      <c r="D576" s="2" t="n"/>
      <c r="E576" s="2" t="n"/>
      <c r="F576" s="2" t="n"/>
    </row>
    <row r="577" ht="15.75" customHeight="1" s="134">
      <c r="A577" s="2" t="n"/>
      <c r="B577" s="2" t="n"/>
      <c r="C577" s="2" t="n"/>
      <c r="D577" s="2" t="n"/>
      <c r="E577" s="2" t="n"/>
      <c r="F577" s="2" t="n"/>
    </row>
    <row r="578" ht="15.75" customHeight="1" s="134">
      <c r="A578" s="2" t="n"/>
      <c r="B578" s="2" t="n"/>
      <c r="C578" s="2" t="n"/>
      <c r="D578" s="2" t="n"/>
      <c r="E578" s="2" t="n"/>
      <c r="F578" s="2" t="n"/>
    </row>
    <row r="579" ht="15.75" customHeight="1" s="134">
      <c r="A579" s="2" t="n"/>
      <c r="B579" s="2" t="n"/>
      <c r="C579" s="2" t="n"/>
      <c r="D579" s="2" t="n"/>
      <c r="E579" s="2" t="n"/>
      <c r="F579" s="2" t="n"/>
    </row>
    <row r="580" ht="15.75" customHeight="1" s="134">
      <c r="A580" s="2" t="n"/>
      <c r="B580" s="2" t="n"/>
      <c r="C580" s="2" t="n"/>
      <c r="D580" s="2" t="n"/>
      <c r="E580" s="2" t="n"/>
      <c r="F580" s="2" t="n"/>
    </row>
    <row r="581" ht="15.75" customHeight="1" s="134">
      <c r="A581" s="2" t="n"/>
      <c r="B581" s="2" t="n"/>
      <c r="C581" s="2" t="n"/>
      <c r="D581" s="2" t="n"/>
      <c r="E581" s="2" t="n"/>
      <c r="F581" s="2" t="n"/>
    </row>
    <row r="582" ht="15.75" customHeight="1" s="134">
      <c r="A582" s="2" t="n"/>
      <c r="B582" s="2" t="n"/>
      <c r="C582" s="2" t="n"/>
      <c r="D582" s="2" t="n"/>
      <c r="E582" s="2" t="n"/>
      <c r="F582" s="2" t="n"/>
    </row>
    <row r="583" ht="15.75" customHeight="1" s="134">
      <c r="A583" s="2" t="n"/>
      <c r="B583" s="2" t="n"/>
      <c r="C583" s="2" t="n"/>
      <c r="D583" s="2" t="n"/>
      <c r="E583" s="2" t="n"/>
      <c r="F583" s="2" t="n"/>
    </row>
    <row r="584" ht="15.75" customHeight="1" s="134">
      <c r="A584" s="2" t="n"/>
      <c r="B584" s="2" t="n"/>
      <c r="C584" s="2" t="n"/>
      <c r="D584" s="2" t="n"/>
      <c r="E584" s="2" t="n"/>
      <c r="F584" s="2" t="n"/>
    </row>
    <row r="585" ht="15.75" customHeight="1" s="134">
      <c r="A585" s="2" t="n"/>
      <c r="B585" s="2" t="n"/>
      <c r="C585" s="2" t="n"/>
      <c r="D585" s="2" t="n"/>
      <c r="E585" s="2" t="n"/>
      <c r="F585" s="2" t="n"/>
    </row>
    <row r="586" ht="15.75" customHeight="1" s="134">
      <c r="A586" s="2" t="n"/>
      <c r="B586" s="2" t="n"/>
      <c r="C586" s="2" t="n"/>
      <c r="D586" s="2" t="n"/>
      <c r="E586" s="2" t="n"/>
      <c r="F586" s="2" t="n"/>
    </row>
    <row r="587" ht="15.75" customHeight="1" s="134">
      <c r="A587" s="2" t="n"/>
      <c r="B587" s="2" t="n"/>
      <c r="C587" s="2" t="n"/>
      <c r="D587" s="2" t="n"/>
      <c r="E587" s="2" t="n"/>
      <c r="F587" s="2" t="n"/>
    </row>
    <row r="588" ht="15.75" customHeight="1" s="134">
      <c r="A588" s="2" t="n"/>
      <c r="B588" s="2" t="n"/>
      <c r="C588" s="2" t="n"/>
      <c r="D588" s="2" t="n"/>
      <c r="E588" s="2" t="n"/>
      <c r="F588" s="2" t="n"/>
    </row>
    <row r="589" ht="15.75" customHeight="1" s="134">
      <c r="A589" s="2" t="n"/>
      <c r="B589" s="2" t="n"/>
      <c r="C589" s="2" t="n"/>
      <c r="D589" s="2" t="n"/>
      <c r="E589" s="2" t="n"/>
      <c r="F589" s="2" t="n"/>
    </row>
    <row r="590" ht="15.75" customHeight="1" s="134">
      <c r="A590" s="2" t="n"/>
      <c r="B590" s="2" t="n"/>
      <c r="C590" s="2" t="n"/>
      <c r="D590" s="2" t="n"/>
      <c r="E590" s="2" t="n"/>
      <c r="F590" s="2" t="n"/>
    </row>
    <row r="591" ht="15.75" customHeight="1" s="134">
      <c r="A591" s="2" t="n"/>
      <c r="B591" s="2" t="n"/>
      <c r="C591" s="2" t="n"/>
      <c r="D591" s="2" t="n"/>
      <c r="E591" s="2" t="n"/>
      <c r="F591" s="2" t="n"/>
    </row>
    <row r="592" ht="15.75" customHeight="1" s="134">
      <c r="A592" s="2" t="n"/>
      <c r="B592" s="2" t="n"/>
      <c r="C592" s="2" t="n"/>
      <c r="D592" s="2" t="n"/>
      <c r="E592" s="2" t="n"/>
      <c r="F592" s="2" t="n"/>
    </row>
    <row r="593" ht="15.75" customHeight="1" s="134">
      <c r="A593" s="2" t="n"/>
      <c r="B593" s="2" t="n"/>
      <c r="C593" s="2" t="n"/>
      <c r="D593" s="2" t="n"/>
      <c r="E593" s="2" t="n"/>
      <c r="F593" s="2" t="n"/>
    </row>
    <row r="594" ht="15.75" customHeight="1" s="134">
      <c r="A594" s="2" t="n"/>
      <c r="B594" s="2" t="n"/>
      <c r="C594" s="2" t="n"/>
      <c r="D594" s="2" t="n"/>
      <c r="E594" s="2" t="n"/>
      <c r="F594" s="2" t="n"/>
    </row>
    <row r="595" ht="15.75" customHeight="1" s="134">
      <c r="A595" s="2" t="n"/>
      <c r="B595" s="2" t="n"/>
      <c r="C595" s="2" t="n"/>
      <c r="D595" s="2" t="n"/>
      <c r="E595" s="2" t="n"/>
      <c r="F595" s="2" t="n"/>
    </row>
    <row r="596" ht="15.75" customHeight="1" s="134">
      <c r="A596" s="2" t="n"/>
      <c r="B596" s="2" t="n"/>
      <c r="C596" s="2" t="n"/>
      <c r="D596" s="2" t="n"/>
      <c r="E596" s="2" t="n"/>
      <c r="F596" s="2" t="n"/>
    </row>
    <row r="597" ht="15.75" customHeight="1" s="134">
      <c r="A597" s="2" t="n"/>
      <c r="B597" s="2" t="n"/>
      <c r="C597" s="2" t="n"/>
      <c r="D597" s="2" t="n"/>
      <c r="E597" s="2" t="n"/>
      <c r="F597" s="2" t="n"/>
    </row>
    <row r="598" ht="15.75" customHeight="1" s="134">
      <c r="A598" s="2" t="n"/>
      <c r="B598" s="2" t="n"/>
      <c r="C598" s="2" t="n"/>
      <c r="D598" s="2" t="n"/>
      <c r="E598" s="2" t="n"/>
      <c r="F598" s="2" t="n"/>
    </row>
    <row r="599" ht="15.75" customHeight="1" s="134">
      <c r="A599" s="2" t="n"/>
      <c r="B599" s="2" t="n"/>
      <c r="C599" s="2" t="n"/>
      <c r="D599" s="2" t="n"/>
      <c r="E599" s="2" t="n"/>
      <c r="F599" s="2" t="n"/>
    </row>
    <row r="600" ht="15.75" customHeight="1" s="134">
      <c r="A600" s="2" t="n"/>
      <c r="B600" s="2" t="n"/>
      <c r="C600" s="2" t="n"/>
      <c r="D600" s="2" t="n"/>
      <c r="E600" s="2" t="n"/>
      <c r="F600" s="2" t="n"/>
    </row>
    <row r="601" ht="15.75" customHeight="1" s="134">
      <c r="A601" s="2" t="n"/>
      <c r="B601" s="2" t="n"/>
      <c r="C601" s="2" t="n"/>
      <c r="D601" s="2" t="n"/>
      <c r="E601" s="2" t="n"/>
      <c r="F601" s="2" t="n"/>
    </row>
    <row r="602" ht="15.75" customHeight="1" s="134">
      <c r="A602" s="2" t="n"/>
      <c r="B602" s="2" t="n"/>
      <c r="C602" s="2" t="n"/>
      <c r="D602" s="2" t="n"/>
      <c r="E602" s="2" t="n"/>
      <c r="F602" s="2" t="n"/>
    </row>
    <row r="603" ht="15.75" customHeight="1" s="134">
      <c r="A603" s="2" t="n"/>
      <c r="B603" s="2" t="n"/>
      <c r="C603" s="2" t="n"/>
      <c r="D603" s="2" t="n"/>
      <c r="E603" s="2" t="n"/>
      <c r="F603" s="2" t="n"/>
    </row>
    <row r="604" ht="15.75" customHeight="1" s="134">
      <c r="A604" s="2" t="n"/>
      <c r="B604" s="2" t="n"/>
      <c r="C604" s="2" t="n"/>
      <c r="D604" s="2" t="n"/>
      <c r="E604" s="2" t="n"/>
      <c r="F604" s="2" t="n"/>
    </row>
    <row r="605" ht="15.75" customHeight="1" s="134">
      <c r="A605" s="2" t="n"/>
      <c r="B605" s="2" t="n"/>
      <c r="C605" s="2" t="n"/>
      <c r="D605" s="2" t="n"/>
      <c r="E605" s="2" t="n"/>
      <c r="F605" s="2" t="n"/>
    </row>
    <row r="606" ht="15.75" customHeight="1" s="134">
      <c r="A606" s="2" t="n"/>
      <c r="B606" s="2" t="n"/>
      <c r="C606" s="2" t="n"/>
      <c r="D606" s="2" t="n"/>
      <c r="E606" s="2" t="n"/>
      <c r="F606" s="2" t="n"/>
    </row>
    <row r="607" ht="15.75" customHeight="1" s="134">
      <c r="A607" s="2" t="n"/>
      <c r="B607" s="2" t="n"/>
      <c r="C607" s="2" t="n"/>
      <c r="D607" s="2" t="n"/>
      <c r="E607" s="2" t="n"/>
      <c r="F607" s="2" t="n"/>
    </row>
    <row r="608" ht="15.75" customHeight="1" s="134">
      <c r="A608" s="2" t="n"/>
      <c r="B608" s="2" t="n"/>
      <c r="C608" s="2" t="n"/>
      <c r="D608" s="2" t="n"/>
      <c r="E608" s="2" t="n"/>
      <c r="F608" s="2" t="n"/>
    </row>
    <row r="609" ht="15.75" customHeight="1" s="134">
      <c r="A609" s="2" t="n"/>
      <c r="B609" s="2" t="n"/>
      <c r="C609" s="2" t="n"/>
      <c r="D609" s="2" t="n"/>
      <c r="E609" s="2" t="n"/>
      <c r="F609" s="2" t="n"/>
    </row>
    <row r="610" ht="15.75" customHeight="1" s="134">
      <c r="A610" s="2" t="n"/>
      <c r="B610" s="2" t="n"/>
      <c r="C610" s="2" t="n"/>
      <c r="D610" s="2" t="n"/>
      <c r="E610" s="2" t="n"/>
      <c r="F610" s="2" t="n"/>
    </row>
    <row r="611" ht="15.75" customHeight="1" s="134">
      <c r="A611" s="2" t="n"/>
      <c r="B611" s="2" t="n"/>
      <c r="C611" s="2" t="n"/>
      <c r="D611" s="2" t="n"/>
      <c r="E611" s="2" t="n"/>
      <c r="F611" s="2" t="n"/>
    </row>
    <row r="612" ht="15.75" customHeight="1" s="134">
      <c r="A612" s="2" t="n"/>
      <c r="B612" s="2" t="n"/>
      <c r="C612" s="2" t="n"/>
      <c r="D612" s="2" t="n"/>
      <c r="E612" s="2" t="n"/>
      <c r="F612" s="2" t="n"/>
    </row>
    <row r="613" ht="15.75" customHeight="1" s="134">
      <c r="A613" s="2" t="n"/>
      <c r="B613" s="2" t="n"/>
      <c r="C613" s="2" t="n"/>
      <c r="D613" s="2" t="n"/>
      <c r="E613" s="2" t="n"/>
      <c r="F613" s="2" t="n"/>
    </row>
    <row r="614" ht="15.75" customHeight="1" s="134">
      <c r="A614" s="2" t="n"/>
      <c r="B614" s="2" t="n"/>
      <c r="C614" s="2" t="n"/>
      <c r="D614" s="2" t="n"/>
      <c r="E614" s="2" t="n"/>
      <c r="F614" s="2" t="n"/>
    </row>
    <row r="615" ht="15.75" customHeight="1" s="134">
      <c r="A615" s="2" t="n"/>
      <c r="B615" s="2" t="n"/>
      <c r="C615" s="2" t="n"/>
      <c r="D615" s="2" t="n"/>
      <c r="E615" s="2" t="n"/>
      <c r="F615" s="2" t="n"/>
    </row>
    <row r="616" ht="15.75" customHeight="1" s="134">
      <c r="A616" s="2" t="n"/>
      <c r="B616" s="2" t="n"/>
      <c r="C616" s="2" t="n"/>
      <c r="D616" s="2" t="n"/>
      <c r="E616" s="2" t="n"/>
      <c r="F616" s="2" t="n"/>
    </row>
    <row r="617" ht="15.75" customHeight="1" s="134">
      <c r="A617" s="2" t="n"/>
      <c r="B617" s="2" t="n"/>
      <c r="C617" s="2" t="n"/>
      <c r="D617" s="2" t="n"/>
      <c r="E617" s="2" t="n"/>
      <c r="F617" s="2" t="n"/>
    </row>
    <row r="618" ht="15.75" customHeight="1" s="134">
      <c r="A618" s="2" t="n"/>
      <c r="B618" s="2" t="n"/>
      <c r="C618" s="2" t="n"/>
      <c r="D618" s="2" t="n"/>
      <c r="E618" s="2" t="n"/>
      <c r="F618" s="2" t="n"/>
    </row>
    <row r="619" ht="15.75" customHeight="1" s="134">
      <c r="A619" s="2" t="n"/>
      <c r="B619" s="2" t="n"/>
      <c r="C619" s="2" t="n"/>
      <c r="D619" s="2" t="n"/>
      <c r="E619" s="2" t="n"/>
      <c r="F619" s="2" t="n"/>
    </row>
    <row r="620" ht="15.75" customHeight="1" s="134">
      <c r="A620" s="2" t="n"/>
      <c r="B620" s="2" t="n"/>
      <c r="C620" s="2" t="n"/>
      <c r="D620" s="2" t="n"/>
      <c r="E620" s="2" t="n"/>
      <c r="F620" s="2" t="n"/>
    </row>
    <row r="621" ht="15.75" customHeight="1" s="134">
      <c r="A621" s="2" t="n"/>
      <c r="B621" s="2" t="n"/>
      <c r="C621" s="2" t="n"/>
      <c r="D621" s="2" t="n"/>
      <c r="E621" s="2" t="n"/>
      <c r="F621" s="2" t="n"/>
    </row>
    <row r="622" ht="15.75" customHeight="1" s="134">
      <c r="A622" s="2" t="n"/>
      <c r="B622" s="2" t="n"/>
      <c r="C622" s="2" t="n"/>
      <c r="D622" s="2" t="n"/>
      <c r="E622" s="2" t="n"/>
      <c r="F622" s="2" t="n"/>
    </row>
    <row r="623" ht="15.75" customHeight="1" s="134">
      <c r="A623" s="2" t="n"/>
      <c r="B623" s="2" t="n"/>
      <c r="C623" s="2" t="n"/>
      <c r="D623" s="2" t="n"/>
      <c r="E623" s="2" t="n"/>
      <c r="F623" s="2" t="n"/>
    </row>
    <row r="624" ht="15.75" customHeight="1" s="134">
      <c r="A624" s="2" t="n"/>
      <c r="B624" s="2" t="n"/>
      <c r="C624" s="2" t="n"/>
      <c r="D624" s="2" t="n"/>
      <c r="E624" s="2" t="n"/>
      <c r="F624" s="2" t="n"/>
    </row>
    <row r="625" ht="15.75" customHeight="1" s="134">
      <c r="A625" s="2" t="n"/>
      <c r="B625" s="2" t="n"/>
      <c r="C625" s="2" t="n"/>
      <c r="D625" s="2" t="n"/>
      <c r="E625" s="2" t="n"/>
      <c r="F625" s="2" t="n"/>
    </row>
    <row r="626" ht="15.75" customHeight="1" s="134">
      <c r="A626" s="2" t="n"/>
      <c r="B626" s="2" t="n"/>
      <c r="C626" s="2" t="n"/>
      <c r="D626" s="2" t="n"/>
      <c r="E626" s="2" t="n"/>
      <c r="F626" s="2" t="n"/>
    </row>
    <row r="627" ht="15.75" customHeight="1" s="134">
      <c r="A627" s="2" t="n"/>
      <c r="B627" s="2" t="n"/>
      <c r="C627" s="2" t="n"/>
      <c r="D627" s="2" t="n"/>
      <c r="E627" s="2" t="n"/>
      <c r="F627" s="2" t="n"/>
    </row>
    <row r="628" ht="15.75" customHeight="1" s="134">
      <c r="A628" s="2" t="n"/>
      <c r="B628" s="2" t="n"/>
      <c r="C628" s="2" t="n"/>
      <c r="D628" s="2" t="n"/>
      <c r="E628" s="2" t="n"/>
      <c r="F628" s="2" t="n"/>
    </row>
    <row r="629" ht="15.75" customHeight="1" s="134">
      <c r="A629" s="2" t="n"/>
      <c r="B629" s="2" t="n"/>
      <c r="C629" s="2" t="n"/>
      <c r="D629" s="2" t="n"/>
      <c r="E629" s="2" t="n"/>
      <c r="F629" s="2" t="n"/>
    </row>
    <row r="630" ht="15.75" customHeight="1" s="134">
      <c r="A630" s="2" t="n"/>
      <c r="B630" s="2" t="n"/>
      <c r="C630" s="2" t="n"/>
      <c r="D630" s="2" t="n"/>
      <c r="E630" s="2" t="n"/>
      <c r="F630" s="2" t="n"/>
    </row>
    <row r="631" ht="15.75" customHeight="1" s="134">
      <c r="A631" s="2" t="n"/>
      <c r="B631" s="2" t="n"/>
      <c r="C631" s="2" t="n"/>
      <c r="D631" s="2" t="n"/>
      <c r="E631" s="2" t="n"/>
      <c r="F631" s="2" t="n"/>
    </row>
    <row r="632" ht="15.75" customHeight="1" s="134">
      <c r="A632" s="2" t="n"/>
      <c r="B632" s="2" t="n"/>
      <c r="C632" s="2" t="n"/>
      <c r="D632" s="2" t="n"/>
      <c r="E632" s="2" t="n"/>
      <c r="F632" s="2" t="n"/>
    </row>
    <row r="633" ht="15.75" customHeight="1" s="134">
      <c r="A633" s="2" t="n"/>
      <c r="B633" s="2" t="n"/>
      <c r="C633" s="2" t="n"/>
      <c r="D633" s="2" t="n"/>
      <c r="E633" s="2" t="n"/>
      <c r="F633" s="2" t="n"/>
    </row>
    <row r="634" ht="15.75" customHeight="1" s="134">
      <c r="A634" s="2" t="n"/>
      <c r="B634" s="2" t="n"/>
      <c r="C634" s="2" t="n"/>
      <c r="D634" s="2" t="n"/>
      <c r="E634" s="2" t="n"/>
      <c r="F634" s="2" t="n"/>
    </row>
    <row r="635" ht="15.75" customHeight="1" s="134">
      <c r="A635" s="2" t="n"/>
      <c r="B635" s="2" t="n"/>
      <c r="C635" s="2" t="n"/>
      <c r="D635" s="2" t="n"/>
      <c r="E635" s="2" t="n"/>
      <c r="F635" s="2" t="n"/>
    </row>
    <row r="636" ht="15.75" customHeight="1" s="134">
      <c r="A636" s="2" t="n"/>
      <c r="B636" s="2" t="n"/>
      <c r="C636" s="2" t="n"/>
      <c r="D636" s="2" t="n"/>
      <c r="E636" s="2" t="n"/>
      <c r="F636" s="2" t="n"/>
    </row>
    <row r="637" ht="15.75" customHeight="1" s="134">
      <c r="A637" s="2" t="n"/>
      <c r="B637" s="2" t="n"/>
      <c r="C637" s="2" t="n"/>
      <c r="D637" s="2" t="n"/>
      <c r="E637" s="2" t="n"/>
      <c r="F637" s="2" t="n"/>
    </row>
    <row r="638" ht="15.75" customHeight="1" s="134">
      <c r="A638" s="2" t="n"/>
      <c r="B638" s="2" t="n"/>
      <c r="C638" s="2" t="n"/>
      <c r="D638" s="2" t="n"/>
      <c r="E638" s="2" t="n"/>
      <c r="F638" s="2" t="n"/>
    </row>
    <row r="639" ht="15.75" customHeight="1" s="134">
      <c r="A639" s="2" t="n"/>
      <c r="B639" s="2" t="n"/>
      <c r="C639" s="2" t="n"/>
      <c r="D639" s="2" t="n"/>
      <c r="E639" s="2" t="n"/>
      <c r="F639" s="2" t="n"/>
    </row>
    <row r="640" ht="15.75" customHeight="1" s="134">
      <c r="A640" s="2" t="n"/>
      <c r="B640" s="2" t="n"/>
      <c r="C640" s="2" t="n"/>
      <c r="D640" s="2" t="n"/>
      <c r="E640" s="2" t="n"/>
      <c r="F640" s="2" t="n"/>
    </row>
    <row r="641" ht="15.75" customHeight="1" s="134">
      <c r="A641" s="2" t="n"/>
      <c r="B641" s="2" t="n"/>
      <c r="C641" s="2" t="n"/>
      <c r="D641" s="2" t="n"/>
      <c r="E641" s="2" t="n"/>
      <c r="F641" s="2" t="n"/>
    </row>
    <row r="642" ht="15.75" customHeight="1" s="134">
      <c r="A642" s="2" t="n"/>
      <c r="B642" s="2" t="n"/>
      <c r="C642" s="2" t="n"/>
      <c r="D642" s="2" t="n"/>
      <c r="E642" s="2" t="n"/>
      <c r="F642" s="2" t="n"/>
    </row>
    <row r="643" ht="15.75" customHeight="1" s="134">
      <c r="A643" s="2" t="n"/>
      <c r="B643" s="2" t="n"/>
      <c r="C643" s="2" t="n"/>
      <c r="D643" s="2" t="n"/>
      <c r="E643" s="2" t="n"/>
      <c r="F643" s="2" t="n"/>
    </row>
    <row r="644" ht="15.75" customHeight="1" s="134">
      <c r="A644" s="2" t="n"/>
      <c r="B644" s="2" t="n"/>
      <c r="C644" s="2" t="n"/>
      <c r="D644" s="2" t="n"/>
      <c r="E644" s="2" t="n"/>
      <c r="F644" s="2" t="n"/>
    </row>
    <row r="645" ht="15.75" customHeight="1" s="134">
      <c r="A645" s="2" t="n"/>
      <c r="B645" s="2" t="n"/>
      <c r="C645" s="2" t="n"/>
      <c r="D645" s="2" t="n"/>
      <c r="E645" s="2" t="n"/>
      <c r="F645" s="2" t="n"/>
    </row>
    <row r="646" ht="15.75" customHeight="1" s="134">
      <c r="A646" s="2" t="n"/>
      <c r="B646" s="2" t="n"/>
      <c r="C646" s="2" t="n"/>
      <c r="D646" s="2" t="n"/>
      <c r="E646" s="2" t="n"/>
      <c r="F646" s="2" t="n"/>
    </row>
    <row r="647" ht="15.75" customHeight="1" s="134">
      <c r="A647" s="2" t="n"/>
      <c r="B647" s="2" t="n"/>
      <c r="C647" s="2" t="n"/>
      <c r="D647" s="2" t="n"/>
      <c r="E647" s="2" t="n"/>
      <c r="F647" s="2" t="n"/>
    </row>
    <row r="648" ht="15.75" customHeight="1" s="134">
      <c r="A648" s="2" t="n"/>
      <c r="B648" s="2" t="n"/>
      <c r="C648" s="2" t="n"/>
      <c r="D648" s="2" t="n"/>
      <c r="E648" s="2" t="n"/>
      <c r="F648" s="2" t="n"/>
    </row>
    <row r="649" ht="15.75" customHeight="1" s="134">
      <c r="A649" s="2" t="n"/>
      <c r="B649" s="2" t="n"/>
      <c r="C649" s="2" t="n"/>
      <c r="D649" s="2" t="n"/>
      <c r="E649" s="2" t="n"/>
      <c r="F649" s="2" t="n"/>
    </row>
    <row r="650" ht="15.75" customHeight="1" s="134">
      <c r="A650" s="2" t="n"/>
      <c r="B650" s="2" t="n"/>
      <c r="C650" s="2" t="n"/>
      <c r="D650" s="2" t="n"/>
      <c r="E650" s="2" t="n"/>
      <c r="F650" s="2" t="n"/>
    </row>
    <row r="651" ht="15.75" customHeight="1" s="134">
      <c r="A651" s="2" t="n"/>
      <c r="B651" s="2" t="n"/>
      <c r="C651" s="2" t="n"/>
      <c r="D651" s="2" t="n"/>
      <c r="E651" s="2" t="n"/>
      <c r="F651" s="2" t="n"/>
    </row>
    <row r="652" ht="15.75" customHeight="1" s="134">
      <c r="A652" s="2" t="n"/>
      <c r="B652" s="2" t="n"/>
      <c r="C652" s="2" t="n"/>
      <c r="D652" s="2" t="n"/>
      <c r="E652" s="2" t="n"/>
      <c r="F652" s="2" t="n"/>
    </row>
    <row r="653" ht="15.75" customHeight="1" s="134">
      <c r="A653" s="2" t="n"/>
      <c r="B653" s="2" t="n"/>
      <c r="C653" s="2" t="n"/>
      <c r="D653" s="2" t="n"/>
      <c r="E653" s="2" t="n"/>
      <c r="F653" s="2" t="n"/>
    </row>
    <row r="654" ht="15.75" customHeight="1" s="134">
      <c r="A654" s="2" t="n"/>
      <c r="B654" s="2" t="n"/>
      <c r="C654" s="2" t="n"/>
      <c r="D654" s="2" t="n"/>
      <c r="E654" s="2" t="n"/>
      <c r="F654" s="2" t="n"/>
    </row>
    <row r="655" ht="15.75" customHeight="1" s="134">
      <c r="A655" s="2" t="n"/>
      <c r="B655" s="2" t="n"/>
      <c r="C655" s="2" t="n"/>
      <c r="D655" s="2" t="n"/>
      <c r="E655" s="2" t="n"/>
      <c r="F655" s="2" t="n"/>
    </row>
    <row r="656" ht="15.75" customHeight="1" s="134">
      <c r="A656" s="2" t="n"/>
      <c r="B656" s="2" t="n"/>
      <c r="C656" s="2" t="n"/>
      <c r="D656" s="2" t="n"/>
      <c r="E656" s="2" t="n"/>
      <c r="F656" s="2" t="n"/>
    </row>
    <row r="657" ht="15.75" customHeight="1" s="134">
      <c r="A657" s="2" t="n"/>
      <c r="B657" s="2" t="n"/>
      <c r="C657" s="2" t="n"/>
      <c r="D657" s="2" t="n"/>
      <c r="E657" s="2" t="n"/>
      <c r="F657" s="2" t="n"/>
    </row>
    <row r="658" ht="15.75" customHeight="1" s="134">
      <c r="A658" s="2" t="n"/>
      <c r="B658" s="2" t="n"/>
      <c r="C658" s="2" t="n"/>
      <c r="D658" s="2" t="n"/>
      <c r="E658" s="2" t="n"/>
      <c r="F658" s="2" t="n"/>
    </row>
    <row r="659" ht="15.75" customHeight="1" s="134">
      <c r="A659" s="2" t="n"/>
      <c r="B659" s="2" t="n"/>
      <c r="C659" s="2" t="n"/>
      <c r="D659" s="2" t="n"/>
      <c r="E659" s="2" t="n"/>
      <c r="F659" s="2" t="n"/>
    </row>
    <row r="660" ht="15.75" customHeight="1" s="134">
      <c r="A660" s="2" t="n"/>
      <c r="B660" s="2" t="n"/>
      <c r="C660" s="2" t="n"/>
      <c r="D660" s="2" t="n"/>
      <c r="E660" s="2" t="n"/>
      <c r="F660" s="2" t="n"/>
    </row>
    <row r="661" ht="15.75" customHeight="1" s="134">
      <c r="A661" s="2" t="n"/>
      <c r="B661" s="2" t="n"/>
      <c r="C661" s="2" t="n"/>
      <c r="D661" s="2" t="n"/>
      <c r="E661" s="2" t="n"/>
      <c r="F661" s="2" t="n"/>
    </row>
    <row r="662" ht="15.75" customHeight="1" s="134">
      <c r="A662" s="2" t="n"/>
      <c r="B662" s="2" t="n"/>
      <c r="C662" s="2" t="n"/>
      <c r="D662" s="2" t="n"/>
      <c r="E662" s="2" t="n"/>
      <c r="F662" s="2" t="n"/>
    </row>
    <row r="663" ht="15.75" customHeight="1" s="134">
      <c r="A663" s="2" t="n"/>
      <c r="B663" s="2" t="n"/>
      <c r="C663" s="2" t="n"/>
      <c r="D663" s="2" t="n"/>
      <c r="E663" s="2" t="n"/>
      <c r="F663" s="2" t="n"/>
    </row>
    <row r="664" ht="15.75" customHeight="1" s="134">
      <c r="A664" s="2" t="n"/>
      <c r="B664" s="2" t="n"/>
      <c r="C664" s="2" t="n"/>
      <c r="D664" s="2" t="n"/>
      <c r="E664" s="2" t="n"/>
      <c r="F664" s="2" t="n"/>
    </row>
    <row r="665" ht="15.75" customHeight="1" s="134">
      <c r="A665" s="2" t="n"/>
      <c r="B665" s="2" t="n"/>
      <c r="C665" s="2" t="n"/>
      <c r="D665" s="2" t="n"/>
      <c r="E665" s="2" t="n"/>
      <c r="F665" s="2" t="n"/>
    </row>
    <row r="666" ht="15.75" customHeight="1" s="134">
      <c r="A666" s="2" t="n"/>
      <c r="B666" s="2" t="n"/>
      <c r="C666" s="2" t="n"/>
      <c r="D666" s="2" t="n"/>
      <c r="E666" s="2" t="n"/>
      <c r="F666" s="2" t="n"/>
    </row>
    <row r="667" ht="15.75" customHeight="1" s="134">
      <c r="A667" s="2" t="n"/>
      <c r="B667" s="2" t="n"/>
      <c r="C667" s="2" t="n"/>
      <c r="D667" s="2" t="n"/>
      <c r="E667" s="2" t="n"/>
      <c r="F667" s="2" t="n"/>
    </row>
    <row r="668" ht="15.75" customHeight="1" s="134">
      <c r="A668" s="2" t="n"/>
      <c r="B668" s="2" t="n"/>
      <c r="C668" s="2" t="n"/>
      <c r="D668" s="2" t="n"/>
      <c r="E668" s="2" t="n"/>
      <c r="F668" s="2" t="n"/>
    </row>
    <row r="669" ht="15.75" customHeight="1" s="134">
      <c r="A669" s="2" t="n"/>
      <c r="B669" s="2" t="n"/>
      <c r="C669" s="2" t="n"/>
      <c r="D669" s="2" t="n"/>
      <c r="E669" s="2" t="n"/>
      <c r="F669" s="2" t="n"/>
    </row>
    <row r="670" ht="15.75" customHeight="1" s="134">
      <c r="A670" s="2" t="n"/>
      <c r="B670" s="2" t="n"/>
      <c r="C670" s="2" t="n"/>
      <c r="D670" s="2" t="n"/>
      <c r="E670" s="2" t="n"/>
      <c r="F670" s="2" t="n"/>
    </row>
    <row r="671" ht="15.75" customHeight="1" s="134">
      <c r="A671" s="2" t="n"/>
      <c r="B671" s="2" t="n"/>
      <c r="C671" s="2" t="n"/>
      <c r="D671" s="2" t="n"/>
      <c r="E671" s="2" t="n"/>
      <c r="F671" s="2" t="n"/>
    </row>
    <row r="672" ht="15.75" customHeight="1" s="134">
      <c r="A672" s="2" t="n"/>
      <c r="B672" s="2" t="n"/>
      <c r="C672" s="2" t="n"/>
      <c r="D672" s="2" t="n"/>
      <c r="E672" s="2" t="n"/>
      <c r="F672" s="2" t="n"/>
    </row>
    <row r="673" ht="15.75" customHeight="1" s="134">
      <c r="A673" s="2" t="n"/>
      <c r="B673" s="2" t="n"/>
      <c r="C673" s="2" t="n"/>
      <c r="D673" s="2" t="n"/>
      <c r="E673" s="2" t="n"/>
      <c r="F673" s="2" t="n"/>
    </row>
    <row r="674" ht="15.75" customHeight="1" s="134">
      <c r="A674" s="2" t="n"/>
      <c r="B674" s="2" t="n"/>
      <c r="C674" s="2" t="n"/>
      <c r="D674" s="2" t="n"/>
      <c r="E674" s="2" t="n"/>
      <c r="F674" s="2" t="n"/>
    </row>
    <row r="675" ht="15.75" customHeight="1" s="134">
      <c r="A675" s="2" t="n"/>
      <c r="B675" s="2" t="n"/>
      <c r="C675" s="2" t="n"/>
      <c r="D675" s="2" t="n"/>
      <c r="E675" s="2" t="n"/>
      <c r="F675" s="2" t="n"/>
    </row>
    <row r="676" ht="15.75" customHeight="1" s="134">
      <c r="A676" s="2" t="n"/>
      <c r="B676" s="2" t="n"/>
      <c r="C676" s="2" t="n"/>
      <c r="D676" s="2" t="n"/>
      <c r="E676" s="2" t="n"/>
      <c r="F676" s="2" t="n"/>
    </row>
    <row r="677" ht="15.75" customHeight="1" s="134">
      <c r="A677" s="2" t="n"/>
      <c r="B677" s="2" t="n"/>
      <c r="C677" s="2" t="n"/>
      <c r="D677" s="2" t="n"/>
      <c r="E677" s="2" t="n"/>
      <c r="F677" s="2" t="n"/>
    </row>
    <row r="678" ht="15.75" customHeight="1" s="134">
      <c r="A678" s="2" t="n"/>
      <c r="B678" s="2" t="n"/>
      <c r="C678" s="2" t="n"/>
      <c r="D678" s="2" t="n"/>
      <c r="E678" s="2" t="n"/>
      <c r="F678" s="2" t="n"/>
    </row>
    <row r="679" ht="15.75" customHeight="1" s="134">
      <c r="A679" s="2" t="n"/>
      <c r="B679" s="2" t="n"/>
      <c r="C679" s="2" t="n"/>
      <c r="D679" s="2" t="n"/>
      <c r="E679" s="2" t="n"/>
      <c r="F679" s="2" t="n"/>
    </row>
    <row r="680" ht="15.75" customHeight="1" s="134">
      <c r="A680" s="2" t="n"/>
      <c r="B680" s="2" t="n"/>
      <c r="C680" s="2" t="n"/>
      <c r="D680" s="2" t="n"/>
      <c r="E680" s="2" t="n"/>
      <c r="F680" s="2" t="n"/>
    </row>
    <row r="681" ht="15.75" customHeight="1" s="134">
      <c r="A681" s="2" t="n"/>
      <c r="B681" s="2" t="n"/>
      <c r="C681" s="2" t="n"/>
      <c r="D681" s="2" t="n"/>
      <c r="E681" s="2" t="n"/>
      <c r="F681" s="2" t="n"/>
    </row>
    <row r="682" ht="15.75" customHeight="1" s="134">
      <c r="A682" s="2" t="n"/>
      <c r="B682" s="2" t="n"/>
      <c r="C682" s="2" t="n"/>
      <c r="D682" s="2" t="n"/>
      <c r="E682" s="2" t="n"/>
      <c r="F682" s="2" t="n"/>
    </row>
    <row r="683" ht="15.75" customHeight="1" s="134">
      <c r="A683" s="2" t="n"/>
      <c r="B683" s="2" t="n"/>
      <c r="C683" s="2" t="n"/>
      <c r="D683" s="2" t="n"/>
      <c r="E683" s="2" t="n"/>
      <c r="F683" s="2" t="n"/>
    </row>
    <row r="684" ht="15.75" customHeight="1" s="134">
      <c r="A684" s="2" t="n"/>
      <c r="B684" s="2" t="n"/>
      <c r="C684" s="2" t="n"/>
      <c r="D684" s="2" t="n"/>
      <c r="E684" s="2" t="n"/>
      <c r="F684" s="2" t="n"/>
    </row>
    <row r="685" ht="15.75" customHeight="1" s="134">
      <c r="A685" s="2" t="n"/>
      <c r="B685" s="2" t="n"/>
      <c r="C685" s="2" t="n"/>
      <c r="D685" s="2" t="n"/>
      <c r="E685" s="2" t="n"/>
      <c r="F685" s="2" t="n"/>
    </row>
    <row r="686" ht="15.75" customHeight="1" s="134">
      <c r="A686" s="2" t="n"/>
      <c r="B686" s="2" t="n"/>
      <c r="C686" s="2" t="n"/>
      <c r="D686" s="2" t="n"/>
      <c r="E686" s="2" t="n"/>
      <c r="F686" s="2" t="n"/>
    </row>
    <row r="687" ht="15.75" customHeight="1" s="134">
      <c r="A687" s="2" t="n"/>
      <c r="B687" s="2" t="n"/>
      <c r="C687" s="2" t="n"/>
      <c r="D687" s="2" t="n"/>
      <c r="E687" s="2" t="n"/>
      <c r="F687" s="2" t="n"/>
    </row>
    <row r="688" ht="15.75" customHeight="1" s="134">
      <c r="A688" s="2" t="n"/>
      <c r="B688" s="2" t="n"/>
      <c r="C688" s="2" t="n"/>
      <c r="D688" s="2" t="n"/>
      <c r="E688" s="2" t="n"/>
      <c r="F688" s="2" t="n"/>
    </row>
    <row r="689" ht="15.75" customHeight="1" s="134">
      <c r="A689" s="2" t="n"/>
      <c r="B689" s="2" t="n"/>
      <c r="C689" s="2" t="n"/>
      <c r="D689" s="2" t="n"/>
      <c r="E689" s="2" t="n"/>
      <c r="F689" s="2" t="n"/>
    </row>
    <row r="690" ht="15.75" customHeight="1" s="134">
      <c r="A690" s="2" t="n"/>
      <c r="B690" s="2" t="n"/>
      <c r="C690" s="2" t="n"/>
      <c r="D690" s="2" t="n"/>
      <c r="E690" s="2" t="n"/>
      <c r="F690" s="2" t="n"/>
    </row>
    <row r="691" ht="15.75" customHeight="1" s="134">
      <c r="A691" s="2" t="n"/>
      <c r="B691" s="2" t="n"/>
      <c r="C691" s="2" t="n"/>
      <c r="D691" s="2" t="n"/>
      <c r="E691" s="2" t="n"/>
      <c r="F691" s="2" t="n"/>
    </row>
    <row r="692" ht="15.75" customHeight="1" s="134">
      <c r="A692" s="2" t="n"/>
      <c r="B692" s="2" t="n"/>
      <c r="C692" s="2" t="n"/>
      <c r="D692" s="2" t="n"/>
      <c r="E692" s="2" t="n"/>
      <c r="F692" s="2" t="n"/>
    </row>
    <row r="693" ht="15.75" customHeight="1" s="134">
      <c r="A693" s="2" t="n"/>
      <c r="B693" s="2" t="n"/>
      <c r="C693" s="2" t="n"/>
      <c r="D693" s="2" t="n"/>
      <c r="E693" s="2" t="n"/>
      <c r="F693" s="2" t="n"/>
    </row>
    <row r="694" ht="15.75" customHeight="1" s="134">
      <c r="A694" s="2" t="n"/>
      <c r="B694" s="2" t="n"/>
      <c r="C694" s="2" t="n"/>
      <c r="D694" s="2" t="n"/>
      <c r="E694" s="2" t="n"/>
      <c r="F694" s="2" t="n"/>
    </row>
    <row r="695" ht="15.75" customHeight="1" s="134">
      <c r="A695" s="2" t="n"/>
      <c r="B695" s="2" t="n"/>
      <c r="C695" s="2" t="n"/>
      <c r="D695" s="2" t="n"/>
      <c r="E695" s="2" t="n"/>
      <c r="F695" s="2" t="n"/>
    </row>
    <row r="696" ht="15.75" customHeight="1" s="134">
      <c r="A696" s="2" t="n"/>
      <c r="B696" s="2" t="n"/>
      <c r="C696" s="2" t="n"/>
      <c r="D696" s="2" t="n"/>
      <c r="E696" s="2" t="n"/>
      <c r="F696" s="2" t="n"/>
    </row>
    <row r="697" ht="15.75" customHeight="1" s="134">
      <c r="A697" s="2" t="n"/>
      <c r="B697" s="2" t="n"/>
      <c r="C697" s="2" t="n"/>
      <c r="D697" s="2" t="n"/>
      <c r="E697" s="2" t="n"/>
      <c r="F697" s="2" t="n"/>
    </row>
    <row r="698" ht="15.75" customHeight="1" s="134">
      <c r="A698" s="2" t="n"/>
      <c r="B698" s="2" t="n"/>
      <c r="C698" s="2" t="n"/>
      <c r="D698" s="2" t="n"/>
      <c r="E698" s="2" t="n"/>
      <c r="F698" s="2" t="n"/>
    </row>
    <row r="699" ht="15.75" customHeight="1" s="134">
      <c r="A699" s="2" t="n"/>
      <c r="B699" s="2" t="n"/>
      <c r="C699" s="2" t="n"/>
      <c r="D699" s="2" t="n"/>
      <c r="E699" s="2" t="n"/>
      <c r="F699" s="2" t="n"/>
    </row>
    <row r="700" ht="15.75" customHeight="1" s="134">
      <c r="A700" s="2" t="n"/>
      <c r="B700" s="2" t="n"/>
      <c r="C700" s="2" t="n"/>
      <c r="D700" s="2" t="n"/>
      <c r="E700" s="2" t="n"/>
      <c r="F700" s="2" t="n"/>
    </row>
    <row r="701" ht="15.75" customHeight="1" s="134">
      <c r="A701" s="2" t="n"/>
      <c r="B701" s="2" t="n"/>
      <c r="C701" s="2" t="n"/>
      <c r="D701" s="2" t="n"/>
      <c r="E701" s="2" t="n"/>
      <c r="F701" s="2" t="n"/>
    </row>
    <row r="702" ht="15.75" customHeight="1" s="134">
      <c r="A702" s="2" t="n"/>
      <c r="B702" s="2" t="n"/>
      <c r="C702" s="2" t="n"/>
      <c r="D702" s="2" t="n"/>
      <c r="E702" s="2" t="n"/>
      <c r="F702" s="2" t="n"/>
    </row>
    <row r="703" ht="15.75" customHeight="1" s="134">
      <c r="A703" s="2" t="n"/>
      <c r="B703" s="2" t="n"/>
      <c r="C703" s="2" t="n"/>
      <c r="D703" s="2" t="n"/>
      <c r="E703" s="2" t="n"/>
      <c r="F703" s="2" t="n"/>
    </row>
    <row r="704" ht="15.75" customHeight="1" s="134">
      <c r="A704" s="2" t="n"/>
      <c r="B704" s="2" t="n"/>
      <c r="C704" s="2" t="n"/>
      <c r="D704" s="2" t="n"/>
      <c r="E704" s="2" t="n"/>
      <c r="F704" s="2" t="n"/>
    </row>
    <row r="705" ht="15.75" customHeight="1" s="134">
      <c r="A705" s="2" t="n"/>
      <c r="B705" s="2" t="n"/>
      <c r="C705" s="2" t="n"/>
      <c r="D705" s="2" t="n"/>
      <c r="E705" s="2" t="n"/>
      <c r="F705" s="2" t="n"/>
    </row>
    <row r="706" ht="15.75" customHeight="1" s="134">
      <c r="A706" s="2" t="n"/>
      <c r="B706" s="2" t="n"/>
      <c r="C706" s="2" t="n"/>
      <c r="D706" s="2" t="n"/>
      <c r="E706" s="2" t="n"/>
      <c r="F706" s="2" t="n"/>
    </row>
    <row r="707" ht="15.75" customHeight="1" s="134">
      <c r="A707" s="2" t="n"/>
      <c r="B707" s="2" t="n"/>
      <c r="C707" s="2" t="n"/>
      <c r="D707" s="2" t="n"/>
      <c r="E707" s="2" t="n"/>
      <c r="F707" s="2" t="n"/>
    </row>
    <row r="708" ht="15.75" customHeight="1" s="134">
      <c r="A708" s="2" t="n"/>
      <c r="B708" s="2" t="n"/>
      <c r="C708" s="2" t="n"/>
      <c r="D708" s="2" t="n"/>
      <c r="E708" s="2" t="n"/>
      <c r="F708" s="2" t="n"/>
    </row>
    <row r="709" ht="15.75" customHeight="1" s="134">
      <c r="A709" s="2" t="n"/>
      <c r="B709" s="2" t="n"/>
      <c r="C709" s="2" t="n"/>
      <c r="D709" s="2" t="n"/>
      <c r="E709" s="2" t="n"/>
      <c r="F709" s="2" t="n"/>
    </row>
    <row r="710" ht="15.75" customHeight="1" s="134">
      <c r="A710" s="2" t="n"/>
      <c r="B710" s="2" t="n"/>
      <c r="C710" s="2" t="n"/>
      <c r="D710" s="2" t="n"/>
      <c r="E710" s="2" t="n"/>
      <c r="F710" s="2" t="n"/>
    </row>
    <row r="711" ht="15.75" customHeight="1" s="134">
      <c r="A711" s="2" t="n"/>
      <c r="B711" s="2" t="n"/>
      <c r="C711" s="2" t="n"/>
      <c r="D711" s="2" t="n"/>
      <c r="E711" s="2" t="n"/>
      <c r="F711" s="2" t="n"/>
    </row>
    <row r="712" ht="15.75" customHeight="1" s="134">
      <c r="A712" s="2" t="n"/>
      <c r="B712" s="2" t="n"/>
      <c r="C712" s="2" t="n"/>
      <c r="D712" s="2" t="n"/>
      <c r="E712" s="2" t="n"/>
      <c r="F712" s="2" t="n"/>
    </row>
    <row r="713" ht="15.75" customHeight="1" s="134">
      <c r="A713" s="2" t="n"/>
      <c r="B713" s="2" t="n"/>
      <c r="C713" s="2" t="n"/>
      <c r="D713" s="2" t="n"/>
      <c r="E713" s="2" t="n"/>
      <c r="F713" s="2" t="n"/>
    </row>
    <row r="714" ht="15.75" customHeight="1" s="134">
      <c r="A714" s="2" t="n"/>
      <c r="B714" s="2" t="n"/>
      <c r="C714" s="2" t="n"/>
      <c r="D714" s="2" t="n"/>
      <c r="E714" s="2" t="n"/>
      <c r="F714" s="2" t="n"/>
    </row>
    <row r="715" ht="15.75" customHeight="1" s="134">
      <c r="A715" s="2" t="n"/>
      <c r="B715" s="2" t="n"/>
      <c r="C715" s="2" t="n"/>
      <c r="D715" s="2" t="n"/>
      <c r="E715" s="2" t="n"/>
      <c r="F715" s="2" t="n"/>
    </row>
    <row r="716" ht="15.75" customHeight="1" s="134">
      <c r="A716" s="2" t="n"/>
      <c r="B716" s="2" t="n"/>
      <c r="C716" s="2" t="n"/>
      <c r="D716" s="2" t="n"/>
      <c r="E716" s="2" t="n"/>
      <c r="F716" s="2" t="n"/>
    </row>
    <row r="717" ht="15.75" customHeight="1" s="134">
      <c r="A717" s="2" t="n"/>
      <c r="B717" s="2" t="n"/>
      <c r="C717" s="2" t="n"/>
      <c r="D717" s="2" t="n"/>
      <c r="E717" s="2" t="n"/>
      <c r="F717" s="2" t="n"/>
    </row>
    <row r="718" ht="15.75" customHeight="1" s="134">
      <c r="A718" s="2" t="n"/>
      <c r="B718" s="2" t="n"/>
      <c r="C718" s="2" t="n"/>
      <c r="D718" s="2" t="n"/>
      <c r="E718" s="2" t="n"/>
      <c r="F718" s="2" t="n"/>
    </row>
    <row r="719" ht="15.75" customHeight="1" s="134">
      <c r="A719" s="2" t="n"/>
      <c r="B719" s="2" t="n"/>
      <c r="C719" s="2" t="n"/>
      <c r="D719" s="2" t="n"/>
      <c r="E719" s="2" t="n"/>
      <c r="F719" s="2" t="n"/>
    </row>
    <row r="720" ht="15.75" customHeight="1" s="134">
      <c r="A720" s="2" t="n"/>
      <c r="B720" s="2" t="n"/>
      <c r="C720" s="2" t="n"/>
      <c r="D720" s="2" t="n"/>
      <c r="E720" s="2" t="n"/>
      <c r="F720" s="2" t="n"/>
    </row>
    <row r="721" ht="15.75" customHeight="1" s="134">
      <c r="A721" s="2" t="n"/>
      <c r="B721" s="2" t="n"/>
      <c r="C721" s="2" t="n"/>
      <c r="D721" s="2" t="n"/>
      <c r="E721" s="2" t="n"/>
      <c r="F721" s="2" t="n"/>
    </row>
    <row r="722" ht="15.75" customHeight="1" s="134">
      <c r="A722" s="2" t="n"/>
      <c r="B722" s="2" t="n"/>
      <c r="C722" s="2" t="n"/>
      <c r="D722" s="2" t="n"/>
      <c r="E722" s="2" t="n"/>
      <c r="F722" s="2" t="n"/>
    </row>
    <row r="723" ht="15.75" customHeight="1" s="134">
      <c r="A723" s="2" t="n"/>
      <c r="B723" s="2" t="n"/>
      <c r="C723" s="2" t="n"/>
      <c r="D723" s="2" t="n"/>
      <c r="E723" s="2" t="n"/>
      <c r="F723" s="2" t="n"/>
    </row>
    <row r="724" ht="15.75" customHeight="1" s="134">
      <c r="A724" s="2" t="n"/>
      <c r="B724" s="2" t="n"/>
      <c r="C724" s="2" t="n"/>
      <c r="D724" s="2" t="n"/>
      <c r="E724" s="2" t="n"/>
      <c r="F724" s="2" t="n"/>
    </row>
    <row r="725" ht="15.75" customHeight="1" s="134">
      <c r="A725" s="2" t="n"/>
      <c r="B725" s="2" t="n"/>
      <c r="C725" s="2" t="n"/>
      <c r="D725" s="2" t="n"/>
      <c r="E725" s="2" t="n"/>
      <c r="F725" s="2" t="n"/>
    </row>
    <row r="726" ht="15.75" customHeight="1" s="134">
      <c r="A726" s="2" t="n"/>
      <c r="B726" s="2" t="n"/>
      <c r="C726" s="2" t="n"/>
      <c r="D726" s="2" t="n"/>
      <c r="E726" s="2" t="n"/>
      <c r="F726" s="2" t="n"/>
    </row>
    <row r="727" ht="15.75" customHeight="1" s="134">
      <c r="A727" s="2" t="n"/>
      <c r="B727" s="2" t="n"/>
      <c r="C727" s="2" t="n"/>
      <c r="D727" s="2" t="n"/>
      <c r="E727" s="2" t="n"/>
      <c r="F727" s="2" t="n"/>
    </row>
    <row r="728" ht="15.75" customHeight="1" s="134">
      <c r="A728" s="2" t="n"/>
      <c r="B728" s="2" t="n"/>
      <c r="C728" s="2" t="n"/>
      <c r="D728" s="2" t="n"/>
      <c r="E728" s="2" t="n"/>
      <c r="F728" s="2" t="n"/>
    </row>
    <row r="729" ht="15.75" customHeight="1" s="134">
      <c r="A729" s="2" t="n"/>
      <c r="B729" s="2" t="n"/>
      <c r="C729" s="2" t="n"/>
      <c r="D729" s="2" t="n"/>
      <c r="E729" s="2" t="n"/>
      <c r="F729" s="2" t="n"/>
    </row>
    <row r="730" ht="15.75" customHeight="1" s="134">
      <c r="A730" s="2" t="n"/>
      <c r="B730" s="2" t="n"/>
      <c r="C730" s="2" t="n"/>
      <c r="D730" s="2" t="n"/>
      <c r="E730" s="2" t="n"/>
      <c r="F730" s="2" t="n"/>
    </row>
    <row r="731" ht="15.75" customHeight="1" s="134">
      <c r="A731" s="2" t="n"/>
      <c r="B731" s="2" t="n"/>
      <c r="C731" s="2" t="n"/>
      <c r="D731" s="2" t="n"/>
      <c r="E731" s="2" t="n"/>
      <c r="F731" s="2" t="n"/>
    </row>
    <row r="732" ht="15.75" customHeight="1" s="134">
      <c r="A732" s="2" t="n"/>
      <c r="B732" s="2" t="n"/>
      <c r="C732" s="2" t="n"/>
      <c r="D732" s="2" t="n"/>
      <c r="E732" s="2" t="n"/>
      <c r="F732" s="2" t="n"/>
    </row>
    <row r="733" ht="15.75" customHeight="1" s="134">
      <c r="A733" s="2" t="n"/>
      <c r="B733" s="2" t="n"/>
      <c r="C733" s="2" t="n"/>
      <c r="D733" s="2" t="n"/>
      <c r="E733" s="2" t="n"/>
      <c r="F733" s="2" t="n"/>
    </row>
    <row r="734" ht="15.75" customHeight="1" s="134">
      <c r="A734" s="2" t="n"/>
      <c r="B734" s="2" t="n"/>
      <c r="C734" s="2" t="n"/>
      <c r="D734" s="2" t="n"/>
      <c r="E734" s="2" t="n"/>
      <c r="F734" s="2" t="n"/>
    </row>
    <row r="735" ht="15.75" customHeight="1" s="134">
      <c r="A735" s="2" t="n"/>
      <c r="B735" s="2" t="n"/>
      <c r="C735" s="2" t="n"/>
      <c r="D735" s="2" t="n"/>
      <c r="E735" s="2" t="n"/>
      <c r="F735" s="2" t="n"/>
    </row>
    <row r="736" ht="15.75" customHeight="1" s="134">
      <c r="A736" s="2" t="n"/>
      <c r="B736" s="2" t="n"/>
      <c r="C736" s="2" t="n"/>
      <c r="D736" s="2" t="n"/>
      <c r="E736" s="2" t="n"/>
      <c r="F736" s="2" t="n"/>
    </row>
    <row r="737" ht="15.75" customHeight="1" s="134">
      <c r="A737" s="2" t="n"/>
      <c r="B737" s="2" t="n"/>
      <c r="C737" s="2" t="n"/>
      <c r="D737" s="2" t="n"/>
      <c r="E737" s="2" t="n"/>
      <c r="F737" s="2" t="n"/>
    </row>
    <row r="738" ht="15.75" customHeight="1" s="134">
      <c r="A738" s="2" t="n"/>
      <c r="B738" s="2" t="n"/>
      <c r="C738" s="2" t="n"/>
      <c r="D738" s="2" t="n"/>
      <c r="E738" s="2" t="n"/>
      <c r="F738" s="2" t="n"/>
    </row>
    <row r="739" ht="15.75" customHeight="1" s="134">
      <c r="A739" s="2" t="n"/>
      <c r="B739" s="2" t="n"/>
      <c r="C739" s="2" t="n"/>
      <c r="D739" s="2" t="n"/>
      <c r="E739" s="2" t="n"/>
      <c r="F739" s="2" t="n"/>
    </row>
    <row r="740" ht="15.75" customHeight="1" s="134">
      <c r="A740" s="2" t="n"/>
      <c r="B740" s="2" t="n"/>
      <c r="C740" s="2" t="n"/>
      <c r="D740" s="2" t="n"/>
      <c r="E740" s="2" t="n"/>
      <c r="F740" s="2" t="n"/>
    </row>
    <row r="741" ht="15.75" customHeight="1" s="134">
      <c r="A741" s="2" t="n"/>
      <c r="B741" s="2" t="n"/>
      <c r="C741" s="2" t="n"/>
      <c r="D741" s="2" t="n"/>
      <c r="E741" s="2" t="n"/>
      <c r="F741" s="2" t="n"/>
    </row>
    <row r="742" ht="15.75" customHeight="1" s="134">
      <c r="A742" s="2" t="n"/>
      <c r="B742" s="2" t="n"/>
      <c r="C742" s="2" t="n"/>
      <c r="D742" s="2" t="n"/>
      <c r="E742" s="2" t="n"/>
      <c r="F742" s="2" t="n"/>
    </row>
    <row r="743" ht="15.75" customHeight="1" s="134">
      <c r="A743" s="2" t="n"/>
      <c r="B743" s="2" t="n"/>
      <c r="C743" s="2" t="n"/>
      <c r="D743" s="2" t="n"/>
      <c r="E743" s="2" t="n"/>
      <c r="F743" s="2" t="n"/>
    </row>
    <row r="744" ht="15.75" customHeight="1" s="134">
      <c r="A744" s="2" t="n"/>
      <c r="B744" s="2" t="n"/>
      <c r="C744" s="2" t="n"/>
      <c r="D744" s="2" t="n"/>
      <c r="E744" s="2" t="n"/>
      <c r="F744" s="2" t="n"/>
    </row>
    <row r="745" ht="15.75" customHeight="1" s="134">
      <c r="A745" s="2" t="n"/>
      <c r="B745" s="2" t="n"/>
      <c r="C745" s="2" t="n"/>
      <c r="D745" s="2" t="n"/>
      <c r="E745" s="2" t="n"/>
      <c r="F745" s="2" t="n"/>
    </row>
    <row r="746" ht="15.75" customHeight="1" s="134">
      <c r="A746" s="2" t="n"/>
      <c r="B746" s="2" t="n"/>
      <c r="C746" s="2" t="n"/>
      <c r="D746" s="2" t="n"/>
      <c r="E746" s="2" t="n"/>
      <c r="F746" s="2" t="n"/>
    </row>
    <row r="747" ht="15.75" customHeight="1" s="134">
      <c r="A747" s="2" t="n"/>
      <c r="B747" s="2" t="n"/>
      <c r="C747" s="2" t="n"/>
      <c r="D747" s="2" t="n"/>
      <c r="E747" s="2" t="n"/>
      <c r="F747" s="2" t="n"/>
    </row>
    <row r="748" ht="15.75" customHeight="1" s="134">
      <c r="A748" s="2" t="n"/>
      <c r="B748" s="2" t="n"/>
      <c r="C748" s="2" t="n"/>
      <c r="D748" s="2" t="n"/>
      <c r="E748" s="2" t="n"/>
      <c r="F748" s="2" t="n"/>
    </row>
    <row r="749" ht="15.75" customHeight="1" s="134">
      <c r="A749" s="2" t="n"/>
      <c r="B749" s="2" t="n"/>
      <c r="C749" s="2" t="n"/>
      <c r="D749" s="2" t="n"/>
      <c r="E749" s="2" t="n"/>
      <c r="F749" s="2" t="n"/>
    </row>
    <row r="750" ht="15.75" customHeight="1" s="134">
      <c r="A750" s="2" t="n"/>
      <c r="B750" s="2" t="n"/>
      <c r="C750" s="2" t="n"/>
      <c r="D750" s="2" t="n"/>
      <c r="E750" s="2" t="n"/>
      <c r="F750" s="2" t="n"/>
    </row>
    <row r="751" ht="15.75" customHeight="1" s="134">
      <c r="A751" s="2" t="n"/>
      <c r="B751" s="2" t="n"/>
      <c r="C751" s="2" t="n"/>
      <c r="D751" s="2" t="n"/>
      <c r="E751" s="2" t="n"/>
      <c r="F751" s="2" t="n"/>
    </row>
    <row r="752" ht="15.75" customHeight="1" s="134">
      <c r="A752" s="2" t="n"/>
      <c r="B752" s="2" t="n"/>
      <c r="C752" s="2" t="n"/>
      <c r="D752" s="2" t="n"/>
      <c r="E752" s="2" t="n"/>
      <c r="F752" s="2" t="n"/>
    </row>
    <row r="753" ht="15.75" customHeight="1" s="134">
      <c r="A753" s="2" t="n"/>
      <c r="B753" s="2" t="n"/>
      <c r="C753" s="2" t="n"/>
      <c r="D753" s="2" t="n"/>
      <c r="E753" s="2" t="n"/>
      <c r="F753" s="2" t="n"/>
    </row>
    <row r="754" ht="15.75" customHeight="1" s="134">
      <c r="A754" s="2" t="n"/>
      <c r="B754" s="2" t="n"/>
      <c r="C754" s="2" t="n"/>
      <c r="D754" s="2" t="n"/>
      <c r="E754" s="2" t="n"/>
      <c r="F754" s="2" t="n"/>
    </row>
    <row r="755" ht="15.75" customHeight="1" s="134">
      <c r="A755" s="2" t="n"/>
      <c r="B755" s="2" t="n"/>
      <c r="C755" s="2" t="n"/>
      <c r="D755" s="2" t="n"/>
      <c r="E755" s="2" t="n"/>
      <c r="F755" s="2" t="n"/>
    </row>
    <row r="756" ht="15.75" customHeight="1" s="134">
      <c r="A756" s="2" t="n"/>
      <c r="B756" s="2" t="n"/>
      <c r="C756" s="2" t="n"/>
      <c r="D756" s="2" t="n"/>
      <c r="E756" s="2" t="n"/>
      <c r="F756" s="2" t="n"/>
    </row>
    <row r="757" ht="15.75" customHeight="1" s="134">
      <c r="A757" s="2" t="n"/>
      <c r="B757" s="2" t="n"/>
      <c r="C757" s="2" t="n"/>
      <c r="D757" s="2" t="n"/>
      <c r="E757" s="2" t="n"/>
      <c r="F757" s="2" t="n"/>
    </row>
    <row r="758" ht="15.75" customHeight="1" s="134">
      <c r="A758" s="2" t="n"/>
      <c r="B758" s="2" t="n"/>
      <c r="C758" s="2" t="n"/>
      <c r="D758" s="2" t="n"/>
      <c r="E758" s="2" t="n"/>
      <c r="F758" s="2" t="n"/>
    </row>
    <row r="759" ht="15.75" customHeight="1" s="134">
      <c r="A759" s="2" t="n"/>
      <c r="B759" s="2" t="n"/>
      <c r="C759" s="2" t="n"/>
      <c r="D759" s="2" t="n"/>
      <c r="E759" s="2" t="n"/>
      <c r="F759" s="2" t="n"/>
    </row>
    <row r="760" ht="15.75" customHeight="1" s="134">
      <c r="A760" s="2" t="n"/>
      <c r="B760" s="2" t="n"/>
      <c r="C760" s="2" t="n"/>
      <c r="D760" s="2" t="n"/>
      <c r="E760" s="2" t="n"/>
      <c r="F760" s="2" t="n"/>
    </row>
    <row r="761" ht="15.75" customHeight="1" s="134">
      <c r="A761" s="2" t="n"/>
      <c r="B761" s="2" t="n"/>
      <c r="C761" s="2" t="n"/>
      <c r="D761" s="2" t="n"/>
      <c r="E761" s="2" t="n"/>
      <c r="F761" s="2" t="n"/>
    </row>
    <row r="762" ht="15.75" customHeight="1" s="134">
      <c r="A762" s="2" t="n"/>
      <c r="B762" s="2" t="n"/>
      <c r="C762" s="2" t="n"/>
      <c r="D762" s="2" t="n"/>
      <c r="E762" s="2" t="n"/>
      <c r="F762" s="2" t="n"/>
    </row>
    <row r="763" ht="15.75" customHeight="1" s="134">
      <c r="A763" s="2" t="n"/>
      <c r="B763" s="2" t="n"/>
      <c r="C763" s="2" t="n"/>
      <c r="D763" s="2" t="n"/>
      <c r="E763" s="2" t="n"/>
      <c r="F763" s="2" t="n"/>
    </row>
    <row r="764" ht="15.75" customHeight="1" s="134">
      <c r="A764" s="2" t="n"/>
      <c r="B764" s="2" t="n"/>
      <c r="C764" s="2" t="n"/>
      <c r="D764" s="2" t="n"/>
      <c r="E764" s="2" t="n"/>
      <c r="F764" s="2" t="n"/>
    </row>
    <row r="765" ht="15.75" customHeight="1" s="134">
      <c r="A765" s="2" t="n"/>
      <c r="B765" s="2" t="n"/>
      <c r="C765" s="2" t="n"/>
      <c r="D765" s="2" t="n"/>
      <c r="E765" s="2" t="n"/>
      <c r="F765" s="2" t="n"/>
    </row>
    <row r="766" ht="15.75" customHeight="1" s="134">
      <c r="A766" s="2" t="n"/>
      <c r="B766" s="2" t="n"/>
      <c r="C766" s="2" t="n"/>
      <c r="D766" s="2" t="n"/>
      <c r="E766" s="2" t="n"/>
      <c r="F766" s="2" t="n"/>
    </row>
    <row r="767" ht="15.75" customHeight="1" s="134">
      <c r="A767" s="2" t="n"/>
      <c r="B767" s="2" t="n"/>
      <c r="C767" s="2" t="n"/>
      <c r="D767" s="2" t="n"/>
      <c r="E767" s="2" t="n"/>
      <c r="F767" s="2" t="n"/>
    </row>
    <row r="768" ht="15.75" customHeight="1" s="134">
      <c r="A768" s="2" t="n"/>
      <c r="B768" s="2" t="n"/>
      <c r="C768" s="2" t="n"/>
      <c r="D768" s="2" t="n"/>
      <c r="E768" s="2" t="n"/>
      <c r="F768" s="2" t="n"/>
    </row>
    <row r="769" ht="15.75" customHeight="1" s="134">
      <c r="A769" s="2" t="n"/>
      <c r="B769" s="2" t="n"/>
      <c r="C769" s="2" t="n"/>
      <c r="D769" s="2" t="n"/>
      <c r="E769" s="2" t="n"/>
      <c r="F769" s="2" t="n"/>
    </row>
    <row r="770" ht="15.75" customHeight="1" s="134">
      <c r="A770" s="2" t="n"/>
      <c r="B770" s="2" t="n"/>
      <c r="C770" s="2" t="n"/>
      <c r="D770" s="2" t="n"/>
      <c r="E770" s="2" t="n"/>
      <c r="F770" s="2" t="n"/>
    </row>
    <row r="771" ht="15.75" customHeight="1" s="134">
      <c r="A771" s="2" t="n"/>
      <c r="B771" s="2" t="n"/>
      <c r="C771" s="2" t="n"/>
      <c r="D771" s="2" t="n"/>
      <c r="E771" s="2" t="n"/>
      <c r="F771" s="2" t="n"/>
    </row>
    <row r="772" ht="15.75" customHeight="1" s="134">
      <c r="A772" s="2" t="n"/>
      <c r="B772" s="2" t="n"/>
      <c r="C772" s="2" t="n"/>
      <c r="D772" s="2" t="n"/>
      <c r="E772" s="2" t="n"/>
      <c r="F772" s="2" t="n"/>
    </row>
    <row r="773" ht="15.75" customHeight="1" s="134">
      <c r="A773" s="2" t="n"/>
      <c r="B773" s="2" t="n"/>
      <c r="C773" s="2" t="n"/>
      <c r="D773" s="2" t="n"/>
      <c r="E773" s="2" t="n"/>
      <c r="F773" s="2" t="n"/>
    </row>
    <row r="774" ht="15.75" customHeight="1" s="134">
      <c r="A774" s="2" t="n"/>
      <c r="B774" s="2" t="n"/>
      <c r="C774" s="2" t="n"/>
      <c r="D774" s="2" t="n"/>
      <c r="E774" s="2" t="n"/>
      <c r="F774" s="2" t="n"/>
    </row>
    <row r="775" ht="15.75" customHeight="1" s="134">
      <c r="A775" s="2" t="n"/>
      <c r="B775" s="2" t="n"/>
      <c r="C775" s="2" t="n"/>
      <c r="D775" s="2" t="n"/>
      <c r="E775" s="2" t="n"/>
      <c r="F775" s="2" t="n"/>
    </row>
    <row r="776" ht="15.75" customHeight="1" s="134">
      <c r="A776" s="2" t="n"/>
      <c r="B776" s="2" t="n"/>
      <c r="C776" s="2" t="n"/>
      <c r="D776" s="2" t="n"/>
      <c r="E776" s="2" t="n"/>
      <c r="F776" s="2" t="n"/>
    </row>
    <row r="777" ht="15.75" customHeight="1" s="134">
      <c r="A777" s="2" t="n"/>
      <c r="B777" s="2" t="n"/>
      <c r="C777" s="2" t="n"/>
      <c r="D777" s="2" t="n"/>
      <c r="E777" s="2" t="n"/>
      <c r="F777" s="2" t="n"/>
    </row>
    <row r="778" ht="15.75" customHeight="1" s="134">
      <c r="A778" s="2" t="n"/>
      <c r="B778" s="2" t="n"/>
      <c r="C778" s="2" t="n"/>
      <c r="D778" s="2" t="n"/>
      <c r="E778" s="2" t="n"/>
      <c r="F778" s="2" t="n"/>
    </row>
    <row r="779" ht="15.75" customHeight="1" s="134">
      <c r="A779" s="2" t="n"/>
      <c r="B779" s="2" t="n"/>
      <c r="C779" s="2" t="n"/>
      <c r="D779" s="2" t="n"/>
      <c r="E779" s="2" t="n"/>
      <c r="F779" s="2" t="n"/>
    </row>
    <row r="780" ht="15.75" customHeight="1" s="134">
      <c r="A780" s="2" t="n"/>
      <c r="B780" s="2" t="n"/>
      <c r="C780" s="2" t="n"/>
      <c r="D780" s="2" t="n"/>
      <c r="E780" s="2" t="n"/>
      <c r="F780" s="2" t="n"/>
    </row>
    <row r="781" ht="15.75" customHeight="1" s="134">
      <c r="A781" s="2" t="n"/>
      <c r="B781" s="2" t="n"/>
      <c r="C781" s="2" t="n"/>
      <c r="D781" s="2" t="n"/>
      <c r="E781" s="2" t="n"/>
      <c r="F781" s="2" t="n"/>
    </row>
    <row r="782" ht="15.75" customHeight="1" s="134">
      <c r="A782" s="2" t="n"/>
      <c r="B782" s="2" t="n"/>
      <c r="C782" s="2" t="n"/>
      <c r="D782" s="2" t="n"/>
      <c r="E782" s="2" t="n"/>
      <c r="F782" s="2" t="n"/>
    </row>
    <row r="783" ht="15.75" customHeight="1" s="134">
      <c r="A783" s="2" t="n"/>
      <c r="B783" s="2" t="n"/>
      <c r="C783" s="2" t="n"/>
      <c r="D783" s="2" t="n"/>
      <c r="E783" s="2" t="n"/>
      <c r="F783" s="2" t="n"/>
    </row>
    <row r="784" ht="15.75" customHeight="1" s="134">
      <c r="A784" s="2" t="n"/>
      <c r="B784" s="2" t="n"/>
      <c r="C784" s="2" t="n"/>
      <c r="D784" s="2" t="n"/>
      <c r="E784" s="2" t="n"/>
      <c r="F784" s="2" t="n"/>
    </row>
    <row r="785" ht="15.75" customHeight="1" s="134">
      <c r="A785" s="2" t="n"/>
      <c r="B785" s="2" t="n"/>
      <c r="C785" s="2" t="n"/>
      <c r="D785" s="2" t="n"/>
      <c r="E785" s="2" t="n"/>
      <c r="F785" s="2" t="n"/>
    </row>
    <row r="786" ht="15.75" customHeight="1" s="134">
      <c r="A786" s="2" t="n"/>
      <c r="B786" s="2" t="n"/>
      <c r="C786" s="2" t="n"/>
      <c r="D786" s="2" t="n"/>
      <c r="E786" s="2" t="n"/>
      <c r="F786" s="2" t="n"/>
    </row>
    <row r="787" ht="15.75" customHeight="1" s="134">
      <c r="A787" s="2" t="n"/>
      <c r="B787" s="2" t="n"/>
      <c r="C787" s="2" t="n"/>
      <c r="D787" s="2" t="n"/>
      <c r="E787" s="2" t="n"/>
      <c r="F787" s="2" t="n"/>
    </row>
    <row r="788" ht="15.75" customHeight="1" s="134">
      <c r="A788" s="2" t="n"/>
      <c r="B788" s="2" t="n"/>
      <c r="C788" s="2" t="n"/>
      <c r="D788" s="2" t="n"/>
      <c r="E788" s="2" t="n"/>
      <c r="F788" s="2" t="n"/>
    </row>
    <row r="789" ht="15.75" customHeight="1" s="134">
      <c r="A789" s="2" t="n"/>
      <c r="B789" s="2" t="n"/>
      <c r="C789" s="2" t="n"/>
      <c r="D789" s="2" t="n"/>
      <c r="E789" s="2" t="n"/>
      <c r="F789" s="2" t="n"/>
    </row>
    <row r="790" ht="15.75" customHeight="1" s="134">
      <c r="A790" s="2" t="n"/>
      <c r="B790" s="2" t="n"/>
      <c r="C790" s="2" t="n"/>
      <c r="D790" s="2" t="n"/>
      <c r="E790" s="2" t="n"/>
      <c r="F790" s="2" t="n"/>
    </row>
    <row r="791" ht="15.75" customHeight="1" s="134">
      <c r="A791" s="2" t="n"/>
      <c r="B791" s="2" t="n"/>
      <c r="C791" s="2" t="n"/>
      <c r="D791" s="2" t="n"/>
      <c r="E791" s="2" t="n"/>
      <c r="F791" s="2" t="n"/>
    </row>
    <row r="792" ht="15.75" customHeight="1" s="134">
      <c r="A792" s="2" t="n"/>
      <c r="B792" s="2" t="n"/>
      <c r="C792" s="2" t="n"/>
      <c r="D792" s="2" t="n"/>
      <c r="E792" s="2" t="n"/>
      <c r="F792" s="2" t="n"/>
    </row>
    <row r="793" ht="15.75" customHeight="1" s="134">
      <c r="A793" s="2" t="n"/>
      <c r="B793" s="2" t="n"/>
      <c r="C793" s="2" t="n"/>
      <c r="D793" s="2" t="n"/>
      <c r="E793" s="2" t="n"/>
      <c r="F793" s="2" t="n"/>
    </row>
    <row r="794" ht="15.75" customHeight="1" s="134">
      <c r="A794" s="2" t="n"/>
      <c r="B794" s="2" t="n"/>
      <c r="C794" s="2" t="n"/>
      <c r="D794" s="2" t="n"/>
      <c r="E794" s="2" t="n"/>
      <c r="F794" s="2" t="n"/>
    </row>
    <row r="795" ht="15.75" customHeight="1" s="134">
      <c r="A795" s="2" t="n"/>
      <c r="B795" s="2" t="n"/>
      <c r="C795" s="2" t="n"/>
      <c r="D795" s="2" t="n"/>
      <c r="E795" s="2" t="n"/>
      <c r="F795" s="2" t="n"/>
    </row>
    <row r="796" ht="15.75" customHeight="1" s="134">
      <c r="A796" s="2" t="n"/>
      <c r="B796" s="2" t="n"/>
      <c r="C796" s="2" t="n"/>
      <c r="D796" s="2" t="n"/>
      <c r="E796" s="2" t="n"/>
      <c r="F796" s="2" t="n"/>
    </row>
    <row r="797" ht="15.75" customHeight="1" s="134">
      <c r="A797" s="2" t="n"/>
      <c r="B797" s="2" t="n"/>
      <c r="C797" s="2" t="n"/>
      <c r="D797" s="2" t="n"/>
      <c r="E797" s="2" t="n"/>
      <c r="F797" s="2" t="n"/>
    </row>
    <row r="798" ht="15.75" customHeight="1" s="134">
      <c r="A798" s="2" t="n"/>
      <c r="B798" s="2" t="n"/>
      <c r="C798" s="2" t="n"/>
      <c r="D798" s="2" t="n"/>
      <c r="E798" s="2" t="n"/>
      <c r="F798" s="2" t="n"/>
    </row>
    <row r="799" ht="15.75" customHeight="1" s="134">
      <c r="A799" s="2" t="n"/>
      <c r="B799" s="2" t="n"/>
      <c r="C799" s="2" t="n"/>
      <c r="D799" s="2" t="n"/>
      <c r="E799" s="2" t="n"/>
      <c r="F799" s="2" t="n"/>
    </row>
    <row r="800" ht="15.75" customHeight="1" s="134">
      <c r="A800" s="2" t="n"/>
      <c r="B800" s="2" t="n"/>
      <c r="C800" s="2" t="n"/>
      <c r="D800" s="2" t="n"/>
      <c r="E800" s="2" t="n"/>
      <c r="F800" s="2" t="n"/>
    </row>
    <row r="801" ht="15.75" customHeight="1" s="134">
      <c r="A801" s="2" t="n"/>
      <c r="B801" s="2" t="n"/>
      <c r="C801" s="2" t="n"/>
      <c r="D801" s="2" t="n"/>
      <c r="E801" s="2" t="n"/>
      <c r="F801" s="2" t="n"/>
    </row>
    <row r="802" ht="15.75" customHeight="1" s="134">
      <c r="A802" s="2" t="n"/>
      <c r="B802" s="2" t="n"/>
      <c r="C802" s="2" t="n"/>
      <c r="D802" s="2" t="n"/>
      <c r="E802" s="2" t="n"/>
      <c r="F802" s="2" t="n"/>
    </row>
    <row r="803" ht="15.75" customHeight="1" s="134">
      <c r="A803" s="2" t="n"/>
      <c r="B803" s="2" t="n"/>
      <c r="C803" s="2" t="n"/>
      <c r="D803" s="2" t="n"/>
      <c r="E803" s="2" t="n"/>
      <c r="F803" s="2" t="n"/>
    </row>
    <row r="804" ht="15.75" customHeight="1" s="134">
      <c r="A804" s="2" t="n"/>
      <c r="B804" s="2" t="n"/>
      <c r="C804" s="2" t="n"/>
      <c r="D804" s="2" t="n"/>
      <c r="E804" s="2" t="n"/>
      <c r="F804" s="2" t="n"/>
    </row>
    <row r="805" ht="15.75" customHeight="1" s="134">
      <c r="A805" s="2" t="n"/>
      <c r="B805" s="2" t="n"/>
      <c r="C805" s="2" t="n"/>
      <c r="D805" s="2" t="n"/>
      <c r="E805" s="2" t="n"/>
      <c r="F805" s="2" t="n"/>
    </row>
    <row r="806" ht="15.75" customHeight="1" s="134">
      <c r="A806" s="2" t="n"/>
      <c r="B806" s="2" t="n"/>
      <c r="C806" s="2" t="n"/>
      <c r="D806" s="2" t="n"/>
      <c r="E806" s="2" t="n"/>
      <c r="F806" s="2" t="n"/>
    </row>
    <row r="807" ht="15.75" customHeight="1" s="134">
      <c r="A807" s="2" t="n"/>
      <c r="B807" s="2" t="n"/>
      <c r="C807" s="2" t="n"/>
      <c r="D807" s="2" t="n"/>
      <c r="E807" s="2" t="n"/>
      <c r="F807" s="2" t="n"/>
    </row>
    <row r="808" ht="15.75" customHeight="1" s="134">
      <c r="A808" s="2" t="n"/>
      <c r="B808" s="2" t="n"/>
      <c r="C808" s="2" t="n"/>
      <c r="D808" s="2" t="n"/>
      <c r="E808" s="2" t="n"/>
      <c r="F808" s="2" t="n"/>
    </row>
    <row r="809" ht="15.75" customHeight="1" s="134">
      <c r="A809" s="2" t="n"/>
      <c r="B809" s="2" t="n"/>
      <c r="C809" s="2" t="n"/>
      <c r="D809" s="2" t="n"/>
      <c r="E809" s="2" t="n"/>
      <c r="F809" s="2" t="n"/>
    </row>
    <row r="810" ht="15.75" customHeight="1" s="134">
      <c r="A810" s="2" t="n"/>
      <c r="B810" s="2" t="n"/>
      <c r="C810" s="2" t="n"/>
      <c r="D810" s="2" t="n"/>
      <c r="E810" s="2" t="n"/>
      <c r="F810" s="2" t="n"/>
    </row>
    <row r="811" ht="15.75" customHeight="1" s="134">
      <c r="A811" s="2" t="n"/>
      <c r="B811" s="2" t="n"/>
      <c r="C811" s="2" t="n"/>
      <c r="D811" s="2" t="n"/>
      <c r="E811" s="2" t="n"/>
      <c r="F811" s="2" t="n"/>
    </row>
    <row r="812" ht="15.75" customHeight="1" s="134">
      <c r="A812" s="2" t="n"/>
      <c r="B812" s="2" t="n"/>
      <c r="C812" s="2" t="n"/>
      <c r="D812" s="2" t="n"/>
      <c r="E812" s="2" t="n"/>
      <c r="F812" s="2" t="n"/>
    </row>
    <row r="813" ht="15.75" customHeight="1" s="134">
      <c r="A813" s="2" t="n"/>
      <c r="B813" s="2" t="n"/>
      <c r="C813" s="2" t="n"/>
      <c r="D813" s="2" t="n"/>
      <c r="E813" s="2" t="n"/>
      <c r="F813" s="2" t="n"/>
    </row>
    <row r="814" ht="15.75" customHeight="1" s="134">
      <c r="A814" s="2" t="n"/>
      <c r="B814" s="2" t="n"/>
      <c r="C814" s="2" t="n"/>
      <c r="D814" s="2" t="n"/>
      <c r="E814" s="2" t="n"/>
      <c r="F814" s="2" t="n"/>
    </row>
    <row r="815" ht="15.75" customHeight="1" s="134">
      <c r="A815" s="2" t="n"/>
      <c r="B815" s="2" t="n"/>
      <c r="C815" s="2" t="n"/>
      <c r="D815" s="2" t="n"/>
      <c r="E815" s="2" t="n"/>
      <c r="F815" s="2" t="n"/>
    </row>
    <row r="816" ht="15.75" customHeight="1" s="134">
      <c r="A816" s="2" t="n"/>
      <c r="B816" s="2" t="n"/>
      <c r="C816" s="2" t="n"/>
      <c r="D816" s="2" t="n"/>
      <c r="E816" s="2" t="n"/>
      <c r="F816" s="2" t="n"/>
    </row>
    <row r="817" ht="15.75" customHeight="1" s="134">
      <c r="A817" s="2" t="n"/>
      <c r="B817" s="2" t="n"/>
      <c r="C817" s="2" t="n"/>
      <c r="D817" s="2" t="n"/>
      <c r="E817" s="2" t="n"/>
      <c r="F817" s="2" t="n"/>
    </row>
    <row r="818" ht="15.75" customHeight="1" s="134">
      <c r="A818" s="2" t="n"/>
      <c r="B818" s="2" t="n"/>
      <c r="C818" s="2" t="n"/>
      <c r="D818" s="2" t="n"/>
      <c r="E818" s="2" t="n"/>
      <c r="F818" s="2" t="n"/>
    </row>
    <row r="819" ht="15.75" customHeight="1" s="134">
      <c r="A819" s="2" t="n"/>
      <c r="B819" s="2" t="n"/>
      <c r="C819" s="2" t="n"/>
      <c r="D819" s="2" t="n"/>
      <c r="E819" s="2" t="n"/>
      <c r="F819" s="2" t="n"/>
    </row>
    <row r="820" ht="15.75" customHeight="1" s="134">
      <c r="A820" s="2" t="n"/>
      <c r="B820" s="2" t="n"/>
      <c r="C820" s="2" t="n"/>
      <c r="D820" s="2" t="n"/>
      <c r="E820" s="2" t="n"/>
      <c r="F820" s="2" t="n"/>
    </row>
    <row r="821" ht="15.75" customHeight="1" s="134">
      <c r="A821" s="2" t="n"/>
      <c r="B821" s="2" t="n"/>
      <c r="C821" s="2" t="n"/>
      <c r="D821" s="2" t="n"/>
      <c r="E821" s="2" t="n"/>
      <c r="F821" s="2" t="n"/>
    </row>
    <row r="822" ht="15.75" customHeight="1" s="134">
      <c r="A822" s="2" t="n"/>
      <c r="B822" s="2" t="n"/>
      <c r="C822" s="2" t="n"/>
      <c r="D822" s="2" t="n"/>
      <c r="E822" s="2" t="n"/>
      <c r="F822" s="2" t="n"/>
    </row>
    <row r="823" ht="15.75" customHeight="1" s="134">
      <c r="A823" s="2" t="n"/>
      <c r="B823" s="2" t="n"/>
      <c r="C823" s="2" t="n"/>
      <c r="D823" s="2" t="n"/>
      <c r="E823" s="2" t="n"/>
      <c r="F823" s="2" t="n"/>
    </row>
    <row r="824" ht="15.75" customHeight="1" s="134">
      <c r="A824" s="2" t="n"/>
      <c r="B824" s="2" t="n"/>
      <c r="C824" s="2" t="n"/>
      <c r="D824" s="2" t="n"/>
      <c r="E824" s="2" t="n"/>
      <c r="F824" s="2" t="n"/>
    </row>
    <row r="825" ht="15.75" customHeight="1" s="134">
      <c r="A825" s="2" t="n"/>
      <c r="B825" s="2" t="n"/>
      <c r="C825" s="2" t="n"/>
      <c r="D825" s="2" t="n"/>
      <c r="E825" s="2" t="n"/>
      <c r="F825" s="2" t="n"/>
    </row>
    <row r="826" ht="15.75" customHeight="1" s="134">
      <c r="A826" s="2" t="n"/>
      <c r="B826" s="2" t="n"/>
      <c r="C826" s="2" t="n"/>
      <c r="D826" s="2" t="n"/>
      <c r="E826" s="2" t="n"/>
      <c r="F826" s="2" t="n"/>
    </row>
    <row r="827" ht="15.75" customHeight="1" s="134">
      <c r="A827" s="2" t="n"/>
      <c r="B827" s="2" t="n"/>
      <c r="C827" s="2" t="n"/>
      <c r="D827" s="2" t="n"/>
      <c r="E827" s="2" t="n"/>
      <c r="F827" s="2" t="n"/>
    </row>
    <row r="828" ht="15.75" customHeight="1" s="134">
      <c r="A828" s="2" t="n"/>
      <c r="B828" s="2" t="n"/>
      <c r="C828" s="2" t="n"/>
      <c r="D828" s="2" t="n"/>
      <c r="E828" s="2" t="n"/>
      <c r="F828" s="2" t="n"/>
    </row>
    <row r="829" ht="15.75" customHeight="1" s="134">
      <c r="A829" s="2" t="n"/>
      <c r="B829" s="2" t="n"/>
      <c r="C829" s="2" t="n"/>
      <c r="D829" s="2" t="n"/>
      <c r="E829" s="2" t="n"/>
      <c r="F829" s="2" t="n"/>
    </row>
    <row r="830" ht="15.75" customHeight="1" s="134">
      <c r="A830" s="2" t="n"/>
      <c r="B830" s="2" t="n"/>
      <c r="C830" s="2" t="n"/>
      <c r="D830" s="2" t="n"/>
      <c r="E830" s="2" t="n"/>
      <c r="F830" s="2" t="n"/>
    </row>
    <row r="831" ht="15.75" customHeight="1" s="134">
      <c r="A831" s="2" t="n"/>
      <c r="B831" s="2" t="n"/>
      <c r="C831" s="2" t="n"/>
      <c r="D831" s="2" t="n"/>
      <c r="E831" s="2" t="n"/>
      <c r="F831" s="2" t="n"/>
    </row>
    <row r="832" ht="15.75" customHeight="1" s="134">
      <c r="A832" s="2" t="n"/>
      <c r="B832" s="2" t="n"/>
      <c r="C832" s="2" t="n"/>
      <c r="D832" s="2" t="n"/>
      <c r="E832" s="2" t="n"/>
      <c r="F832" s="2" t="n"/>
    </row>
    <row r="833" ht="15.75" customHeight="1" s="134">
      <c r="A833" s="2" t="n"/>
      <c r="B833" s="2" t="n"/>
      <c r="C833" s="2" t="n"/>
      <c r="D833" s="2" t="n"/>
      <c r="E833" s="2" t="n"/>
      <c r="F833" s="2" t="n"/>
    </row>
    <row r="834" ht="15.75" customHeight="1" s="134">
      <c r="A834" s="2" t="n"/>
      <c r="B834" s="2" t="n"/>
      <c r="C834" s="2" t="n"/>
      <c r="D834" s="2" t="n"/>
      <c r="E834" s="2" t="n"/>
      <c r="F834" s="2" t="n"/>
    </row>
    <row r="835" ht="15.75" customHeight="1" s="134">
      <c r="A835" s="2" t="n"/>
      <c r="B835" s="2" t="n"/>
      <c r="C835" s="2" t="n"/>
      <c r="D835" s="2" t="n"/>
      <c r="E835" s="2" t="n"/>
      <c r="F835" s="2" t="n"/>
    </row>
    <row r="836" ht="15.75" customHeight="1" s="134">
      <c r="A836" s="2" t="n"/>
      <c r="B836" s="2" t="n"/>
      <c r="C836" s="2" t="n"/>
      <c r="D836" s="2" t="n"/>
      <c r="E836" s="2" t="n"/>
      <c r="F836" s="2" t="n"/>
    </row>
    <row r="837" ht="15.75" customHeight="1" s="134">
      <c r="A837" s="2" t="n"/>
      <c r="B837" s="2" t="n"/>
      <c r="C837" s="2" t="n"/>
      <c r="D837" s="2" t="n"/>
      <c r="E837" s="2" t="n"/>
      <c r="F837" s="2" t="n"/>
    </row>
    <row r="838" ht="15.75" customHeight="1" s="134">
      <c r="A838" s="2" t="n"/>
      <c r="B838" s="2" t="n"/>
      <c r="C838" s="2" t="n"/>
      <c r="D838" s="2" t="n"/>
      <c r="E838" s="2" t="n"/>
      <c r="F838" s="2" t="n"/>
    </row>
    <row r="839" ht="15.75" customHeight="1" s="134">
      <c r="A839" s="2" t="n"/>
      <c r="B839" s="2" t="n"/>
      <c r="C839" s="2" t="n"/>
      <c r="D839" s="2" t="n"/>
      <c r="E839" s="2" t="n"/>
      <c r="F839" s="2" t="n"/>
    </row>
    <row r="840" ht="15.75" customHeight="1" s="134">
      <c r="A840" s="2" t="n"/>
      <c r="B840" s="2" t="n"/>
      <c r="C840" s="2" t="n"/>
      <c r="D840" s="2" t="n"/>
      <c r="E840" s="2" t="n"/>
      <c r="F840" s="2" t="n"/>
    </row>
    <row r="841" ht="15.75" customHeight="1" s="134">
      <c r="A841" s="2" t="n"/>
      <c r="B841" s="2" t="n"/>
      <c r="C841" s="2" t="n"/>
      <c r="D841" s="2" t="n"/>
      <c r="E841" s="2" t="n"/>
      <c r="F841" s="2" t="n"/>
    </row>
    <row r="842" ht="15.75" customHeight="1" s="134">
      <c r="A842" s="2" t="n"/>
      <c r="B842" s="2" t="n"/>
      <c r="C842" s="2" t="n"/>
      <c r="D842" s="2" t="n"/>
      <c r="E842" s="2" t="n"/>
      <c r="F842" s="2" t="n"/>
    </row>
    <row r="843" ht="15.75" customHeight="1" s="134">
      <c r="A843" s="2" t="n"/>
      <c r="B843" s="2" t="n"/>
      <c r="C843" s="2" t="n"/>
      <c r="D843" s="2" t="n"/>
      <c r="E843" s="2" t="n"/>
      <c r="F843" s="2" t="n"/>
    </row>
    <row r="844" ht="15.75" customHeight="1" s="134">
      <c r="A844" s="2" t="n"/>
      <c r="B844" s="2" t="n"/>
      <c r="C844" s="2" t="n"/>
      <c r="D844" s="2" t="n"/>
      <c r="E844" s="2" t="n"/>
      <c r="F844" s="2" t="n"/>
    </row>
    <row r="845" ht="15.75" customHeight="1" s="134">
      <c r="A845" s="2" t="n"/>
      <c r="B845" s="2" t="n"/>
      <c r="C845" s="2" t="n"/>
      <c r="D845" s="2" t="n"/>
      <c r="E845" s="2" t="n"/>
      <c r="F845" s="2" t="n"/>
    </row>
    <row r="846" ht="15.75" customHeight="1" s="134">
      <c r="A846" s="2" t="n"/>
      <c r="B846" s="2" t="n"/>
      <c r="C846" s="2" t="n"/>
      <c r="D846" s="2" t="n"/>
      <c r="E846" s="2" t="n"/>
      <c r="F846" s="2" t="n"/>
    </row>
    <row r="847" ht="15.75" customHeight="1" s="134">
      <c r="A847" s="2" t="n"/>
      <c r="B847" s="2" t="n"/>
      <c r="C847" s="2" t="n"/>
      <c r="D847" s="2" t="n"/>
      <c r="E847" s="2" t="n"/>
      <c r="F847" s="2" t="n"/>
    </row>
    <row r="848" ht="15.75" customHeight="1" s="134">
      <c r="A848" s="2" t="n"/>
      <c r="B848" s="2" t="n"/>
      <c r="C848" s="2" t="n"/>
      <c r="D848" s="2" t="n"/>
      <c r="E848" s="2" t="n"/>
      <c r="F848" s="2" t="n"/>
    </row>
    <row r="849" ht="15.75" customHeight="1" s="134">
      <c r="A849" s="2" t="n"/>
      <c r="B849" s="2" t="n"/>
      <c r="C849" s="2" t="n"/>
      <c r="D849" s="2" t="n"/>
      <c r="E849" s="2" t="n"/>
      <c r="F849" s="2" t="n"/>
    </row>
    <row r="850" ht="15.75" customHeight="1" s="134">
      <c r="A850" s="2" t="n"/>
      <c r="B850" s="2" t="n"/>
      <c r="C850" s="2" t="n"/>
      <c r="D850" s="2" t="n"/>
      <c r="E850" s="2" t="n"/>
      <c r="F850" s="2" t="n"/>
    </row>
    <row r="851" ht="15.75" customHeight="1" s="134">
      <c r="A851" s="2" t="n"/>
      <c r="B851" s="2" t="n"/>
      <c r="C851" s="2" t="n"/>
      <c r="D851" s="2" t="n"/>
      <c r="E851" s="2" t="n"/>
      <c r="F851" s="2" t="n"/>
    </row>
    <row r="852" ht="15.75" customHeight="1" s="134">
      <c r="A852" s="2" t="n"/>
      <c r="B852" s="2" t="n"/>
      <c r="C852" s="2" t="n"/>
      <c r="D852" s="2" t="n"/>
      <c r="E852" s="2" t="n"/>
      <c r="F852" s="2" t="n"/>
    </row>
    <row r="853" ht="15.75" customHeight="1" s="134">
      <c r="A853" s="2" t="n"/>
      <c r="B853" s="2" t="n"/>
      <c r="C853" s="2" t="n"/>
      <c r="D853" s="2" t="n"/>
      <c r="E853" s="2" t="n"/>
      <c r="F853" s="2" t="n"/>
    </row>
    <row r="854" ht="15.75" customHeight="1" s="134">
      <c r="A854" s="2" t="n"/>
      <c r="B854" s="2" t="n"/>
      <c r="C854" s="2" t="n"/>
      <c r="D854" s="2" t="n"/>
      <c r="E854" s="2" t="n"/>
      <c r="F854" s="2" t="n"/>
    </row>
    <row r="855" ht="15.75" customHeight="1" s="134">
      <c r="A855" s="2" t="n"/>
      <c r="B855" s="2" t="n"/>
      <c r="C855" s="2" t="n"/>
      <c r="D855" s="2" t="n"/>
      <c r="E855" s="2" t="n"/>
      <c r="F855" s="2" t="n"/>
    </row>
    <row r="856" ht="15.75" customHeight="1" s="134">
      <c r="A856" s="2" t="n"/>
      <c r="B856" s="2" t="n"/>
      <c r="C856" s="2" t="n"/>
      <c r="D856" s="2" t="n"/>
      <c r="E856" s="2" t="n"/>
      <c r="F856" s="2" t="n"/>
    </row>
    <row r="857" ht="15.75" customHeight="1" s="134">
      <c r="A857" s="2" t="n"/>
      <c r="B857" s="2" t="n"/>
      <c r="C857" s="2" t="n"/>
      <c r="D857" s="2" t="n"/>
      <c r="E857" s="2" t="n"/>
      <c r="F857" s="2" t="n"/>
    </row>
    <row r="858" ht="15.75" customHeight="1" s="134">
      <c r="A858" s="2" t="n"/>
      <c r="B858" s="2" t="n"/>
      <c r="C858" s="2" t="n"/>
      <c r="D858" s="2" t="n"/>
      <c r="E858" s="2" t="n"/>
      <c r="F858" s="2" t="n"/>
    </row>
    <row r="859" ht="15.75" customHeight="1" s="134">
      <c r="A859" s="2" t="n"/>
      <c r="B859" s="2" t="n"/>
      <c r="C859" s="2" t="n"/>
      <c r="D859" s="2" t="n"/>
      <c r="E859" s="2" t="n"/>
      <c r="F859" s="2" t="n"/>
    </row>
    <row r="860" ht="15.75" customHeight="1" s="134">
      <c r="A860" s="2" t="n"/>
      <c r="B860" s="2" t="n"/>
      <c r="C860" s="2" t="n"/>
      <c r="D860" s="2" t="n"/>
      <c r="E860" s="2" t="n"/>
      <c r="F860" s="2" t="n"/>
    </row>
    <row r="861" ht="15.75" customHeight="1" s="134">
      <c r="A861" s="2" t="n"/>
      <c r="B861" s="2" t="n"/>
      <c r="C861" s="2" t="n"/>
      <c r="D861" s="2" t="n"/>
      <c r="E861" s="2" t="n"/>
      <c r="F861" s="2" t="n"/>
    </row>
    <row r="862" ht="15.75" customHeight="1" s="134">
      <c r="A862" s="2" t="n"/>
      <c r="B862" s="2" t="n"/>
      <c r="C862" s="2" t="n"/>
      <c r="D862" s="2" t="n"/>
      <c r="E862" s="2" t="n"/>
      <c r="F862" s="2" t="n"/>
    </row>
    <row r="863" ht="15.75" customHeight="1" s="134">
      <c r="A863" s="2" t="n"/>
      <c r="B863" s="2" t="n"/>
      <c r="C863" s="2" t="n"/>
      <c r="D863" s="2" t="n"/>
      <c r="E863" s="2" t="n"/>
      <c r="F863" s="2" t="n"/>
    </row>
    <row r="864" ht="15.75" customHeight="1" s="134">
      <c r="A864" s="2" t="n"/>
      <c r="B864" s="2" t="n"/>
      <c r="C864" s="2" t="n"/>
      <c r="D864" s="2" t="n"/>
      <c r="E864" s="2" t="n"/>
      <c r="F864" s="2" t="n"/>
    </row>
    <row r="865" ht="15.75" customHeight="1" s="134">
      <c r="A865" s="2" t="n"/>
      <c r="B865" s="2" t="n"/>
      <c r="C865" s="2" t="n"/>
      <c r="D865" s="2" t="n"/>
      <c r="E865" s="2" t="n"/>
      <c r="F865" s="2" t="n"/>
    </row>
    <row r="866" ht="15.75" customHeight="1" s="134">
      <c r="A866" s="2" t="n"/>
      <c r="B866" s="2" t="n"/>
      <c r="C866" s="2" t="n"/>
      <c r="D866" s="2" t="n"/>
      <c r="E866" s="2" t="n"/>
      <c r="F866" s="2" t="n"/>
    </row>
    <row r="867" ht="15.75" customHeight="1" s="134">
      <c r="A867" s="2" t="n"/>
      <c r="B867" s="2" t="n"/>
      <c r="C867" s="2" t="n"/>
      <c r="D867" s="2" t="n"/>
      <c r="E867" s="2" t="n"/>
      <c r="F867" s="2" t="n"/>
    </row>
    <row r="868" ht="15.75" customHeight="1" s="134">
      <c r="A868" s="2" t="n"/>
      <c r="B868" s="2" t="n"/>
      <c r="C868" s="2" t="n"/>
      <c r="D868" s="2" t="n"/>
      <c r="E868" s="2" t="n"/>
      <c r="F868" s="2" t="n"/>
    </row>
    <row r="869" ht="15.75" customHeight="1" s="134">
      <c r="A869" s="2" t="n"/>
      <c r="B869" s="2" t="n"/>
      <c r="C869" s="2" t="n"/>
      <c r="D869" s="2" t="n"/>
      <c r="E869" s="2" t="n"/>
      <c r="F869" s="2" t="n"/>
    </row>
    <row r="870" ht="15.75" customHeight="1" s="134">
      <c r="A870" s="2" t="n"/>
      <c r="B870" s="2" t="n"/>
      <c r="C870" s="2" t="n"/>
      <c r="D870" s="2" t="n"/>
      <c r="E870" s="2" t="n"/>
      <c r="F870" s="2" t="n"/>
    </row>
    <row r="871" ht="15.75" customHeight="1" s="134">
      <c r="A871" s="2" t="n"/>
      <c r="B871" s="2" t="n"/>
      <c r="C871" s="2" t="n"/>
      <c r="D871" s="2" t="n"/>
      <c r="E871" s="2" t="n"/>
      <c r="F871" s="2" t="n"/>
    </row>
    <row r="872" ht="15.75" customHeight="1" s="134">
      <c r="A872" s="2" t="n"/>
      <c r="B872" s="2" t="n"/>
      <c r="C872" s="2" t="n"/>
      <c r="D872" s="2" t="n"/>
      <c r="E872" s="2" t="n"/>
      <c r="F872" s="2" t="n"/>
    </row>
    <row r="873" ht="15.75" customHeight="1" s="134">
      <c r="A873" s="2" t="n"/>
      <c r="B873" s="2" t="n"/>
      <c r="C873" s="2" t="n"/>
      <c r="D873" s="2" t="n"/>
      <c r="E873" s="2" t="n"/>
      <c r="F873" s="2" t="n"/>
    </row>
    <row r="874" ht="15.75" customHeight="1" s="134">
      <c r="A874" s="2" t="n"/>
      <c r="B874" s="2" t="n"/>
      <c r="C874" s="2" t="n"/>
      <c r="D874" s="2" t="n"/>
      <c r="E874" s="2" t="n"/>
      <c r="F874" s="2" t="n"/>
    </row>
    <row r="875" ht="15.75" customHeight="1" s="134">
      <c r="A875" s="2" t="n"/>
      <c r="B875" s="2" t="n"/>
      <c r="C875" s="2" t="n"/>
      <c r="D875" s="2" t="n"/>
      <c r="E875" s="2" t="n"/>
      <c r="F875" s="2" t="n"/>
    </row>
    <row r="876" ht="15.75" customHeight="1" s="134">
      <c r="A876" s="2" t="n"/>
      <c r="B876" s="2" t="n"/>
      <c r="C876" s="2" t="n"/>
      <c r="D876" s="2" t="n"/>
      <c r="E876" s="2" t="n"/>
      <c r="F876" s="2" t="n"/>
    </row>
    <row r="877" ht="15.75" customHeight="1" s="134">
      <c r="A877" s="2" t="n"/>
      <c r="B877" s="2" t="n"/>
      <c r="C877" s="2" t="n"/>
      <c r="D877" s="2" t="n"/>
      <c r="E877" s="2" t="n"/>
      <c r="F877" s="2" t="n"/>
    </row>
    <row r="878" ht="15.75" customHeight="1" s="134">
      <c r="A878" s="2" t="n"/>
      <c r="B878" s="2" t="n"/>
      <c r="C878" s="2" t="n"/>
      <c r="D878" s="2" t="n"/>
      <c r="E878" s="2" t="n"/>
      <c r="F878" s="2" t="n"/>
    </row>
    <row r="879" ht="15.75" customHeight="1" s="134">
      <c r="A879" s="2" t="n"/>
      <c r="B879" s="2" t="n"/>
      <c r="C879" s="2" t="n"/>
      <c r="D879" s="2" t="n"/>
      <c r="E879" s="2" t="n"/>
      <c r="F879" s="2" t="n"/>
    </row>
    <row r="880" ht="15.75" customHeight="1" s="134">
      <c r="A880" s="2" t="n"/>
      <c r="B880" s="2" t="n"/>
      <c r="C880" s="2" t="n"/>
      <c r="D880" s="2" t="n"/>
      <c r="E880" s="2" t="n"/>
      <c r="F880" s="2" t="n"/>
    </row>
    <row r="881" ht="15.75" customHeight="1" s="134">
      <c r="A881" s="2" t="n"/>
      <c r="B881" s="2" t="n"/>
      <c r="C881" s="2" t="n"/>
      <c r="D881" s="2" t="n"/>
      <c r="E881" s="2" t="n"/>
      <c r="F881" s="2" t="n"/>
    </row>
    <row r="882" ht="15.75" customHeight="1" s="134">
      <c r="A882" s="2" t="n"/>
      <c r="B882" s="2" t="n"/>
      <c r="C882" s="2" t="n"/>
      <c r="D882" s="2" t="n"/>
      <c r="E882" s="2" t="n"/>
      <c r="F882" s="2" t="n"/>
    </row>
    <row r="883" ht="15.75" customHeight="1" s="134">
      <c r="A883" s="2" t="n"/>
      <c r="B883" s="2" t="n"/>
      <c r="C883" s="2" t="n"/>
      <c r="D883" s="2" t="n"/>
      <c r="E883" s="2" t="n"/>
      <c r="F883" s="2" t="n"/>
    </row>
    <row r="884" ht="15.75" customHeight="1" s="134">
      <c r="A884" s="2" t="n"/>
      <c r="B884" s="2" t="n"/>
      <c r="C884" s="2" t="n"/>
      <c r="D884" s="2" t="n"/>
      <c r="E884" s="2" t="n"/>
      <c r="F884" s="2" t="n"/>
    </row>
    <row r="885" ht="15.75" customHeight="1" s="134">
      <c r="A885" s="2" t="n"/>
      <c r="B885" s="2" t="n"/>
      <c r="C885" s="2" t="n"/>
      <c r="D885" s="2" t="n"/>
      <c r="E885" s="2" t="n"/>
      <c r="F885" s="2" t="n"/>
    </row>
    <row r="886" ht="15.75" customHeight="1" s="134">
      <c r="A886" s="2" t="n"/>
      <c r="B886" s="2" t="n"/>
      <c r="C886" s="2" t="n"/>
      <c r="D886" s="2" t="n"/>
      <c r="E886" s="2" t="n"/>
      <c r="F886" s="2" t="n"/>
    </row>
    <row r="887" ht="15.75" customHeight="1" s="134">
      <c r="A887" s="2" t="n"/>
      <c r="B887" s="2" t="n"/>
      <c r="C887" s="2" t="n"/>
      <c r="D887" s="2" t="n"/>
      <c r="E887" s="2" t="n"/>
      <c r="F887" s="2" t="n"/>
    </row>
    <row r="888" ht="15.75" customHeight="1" s="134">
      <c r="A888" s="2" t="n"/>
      <c r="B888" s="2" t="n"/>
      <c r="C888" s="2" t="n"/>
      <c r="D888" s="2" t="n"/>
      <c r="E888" s="2" t="n"/>
      <c r="F888" s="2" t="n"/>
    </row>
    <row r="889" ht="15.75" customHeight="1" s="134">
      <c r="A889" s="2" t="n"/>
      <c r="B889" s="2" t="n"/>
      <c r="C889" s="2" t="n"/>
      <c r="D889" s="2" t="n"/>
      <c r="E889" s="2" t="n"/>
      <c r="F889" s="2" t="n"/>
    </row>
    <row r="890" ht="15.75" customHeight="1" s="134">
      <c r="A890" s="2" t="n"/>
      <c r="B890" s="2" t="n"/>
      <c r="C890" s="2" t="n"/>
      <c r="D890" s="2" t="n"/>
      <c r="E890" s="2" t="n"/>
      <c r="F890" s="2" t="n"/>
    </row>
    <row r="891" ht="15.75" customHeight="1" s="134">
      <c r="A891" s="2" t="n"/>
      <c r="B891" s="2" t="n"/>
      <c r="C891" s="2" t="n"/>
      <c r="D891" s="2" t="n"/>
      <c r="E891" s="2" t="n"/>
      <c r="F891" s="2" t="n"/>
    </row>
    <row r="892" ht="15.75" customHeight="1" s="134">
      <c r="A892" s="2" t="n"/>
      <c r="B892" s="2" t="n"/>
      <c r="C892" s="2" t="n"/>
      <c r="D892" s="2" t="n"/>
      <c r="E892" s="2" t="n"/>
      <c r="F892" s="2" t="n"/>
    </row>
    <row r="893" ht="15.75" customHeight="1" s="134">
      <c r="A893" s="2" t="n"/>
      <c r="B893" s="2" t="n"/>
      <c r="C893" s="2" t="n"/>
      <c r="D893" s="2" t="n"/>
      <c r="E893" s="2" t="n"/>
      <c r="F893" s="2" t="n"/>
    </row>
    <row r="894" ht="15.75" customHeight="1" s="134">
      <c r="A894" s="2" t="n"/>
      <c r="B894" s="2" t="n"/>
      <c r="C894" s="2" t="n"/>
      <c r="D894" s="2" t="n"/>
      <c r="E894" s="2" t="n"/>
      <c r="F894" s="2" t="n"/>
    </row>
    <row r="895" ht="15.75" customHeight="1" s="134">
      <c r="A895" s="2" t="n"/>
      <c r="B895" s="2" t="n"/>
      <c r="C895" s="2" t="n"/>
      <c r="D895" s="2" t="n"/>
      <c r="E895" s="2" t="n"/>
      <c r="F895" s="2" t="n"/>
    </row>
    <row r="896" ht="15.75" customHeight="1" s="134">
      <c r="A896" s="2" t="n"/>
      <c r="B896" s="2" t="n"/>
      <c r="C896" s="2" t="n"/>
      <c r="D896" s="2" t="n"/>
      <c r="E896" s="2" t="n"/>
      <c r="F896" s="2" t="n"/>
    </row>
    <row r="897" ht="15.75" customHeight="1" s="134">
      <c r="A897" s="2" t="n"/>
      <c r="B897" s="2" t="n"/>
      <c r="C897" s="2" t="n"/>
      <c r="D897" s="2" t="n"/>
      <c r="E897" s="2" t="n"/>
      <c r="F897" s="2" t="n"/>
    </row>
    <row r="898" ht="15.75" customHeight="1" s="134">
      <c r="A898" s="2" t="n"/>
      <c r="B898" s="2" t="n"/>
      <c r="C898" s="2" t="n"/>
      <c r="D898" s="2" t="n"/>
      <c r="E898" s="2" t="n"/>
      <c r="F898" s="2" t="n"/>
    </row>
    <row r="899" ht="15.75" customHeight="1" s="134">
      <c r="A899" s="2" t="n"/>
      <c r="B899" s="2" t="n"/>
      <c r="C899" s="2" t="n"/>
      <c r="D899" s="2" t="n"/>
      <c r="E899" s="2" t="n"/>
      <c r="F899" s="2" t="n"/>
    </row>
    <row r="900" ht="15.75" customHeight="1" s="134">
      <c r="A900" s="2" t="n"/>
      <c r="B900" s="2" t="n"/>
      <c r="C900" s="2" t="n"/>
      <c r="D900" s="2" t="n"/>
      <c r="E900" s="2" t="n"/>
      <c r="F900" s="2" t="n"/>
    </row>
    <row r="901" ht="15.75" customHeight="1" s="134">
      <c r="A901" s="2" t="n"/>
      <c r="B901" s="2" t="n"/>
      <c r="C901" s="2" t="n"/>
      <c r="D901" s="2" t="n"/>
      <c r="E901" s="2" t="n"/>
      <c r="F901" s="2" t="n"/>
    </row>
    <row r="902" ht="15.75" customHeight="1" s="134">
      <c r="A902" s="2" t="n"/>
      <c r="B902" s="2" t="n"/>
      <c r="C902" s="2" t="n"/>
      <c r="D902" s="2" t="n"/>
      <c r="E902" s="2" t="n"/>
      <c r="F902" s="2" t="n"/>
    </row>
    <row r="903" ht="15.75" customHeight="1" s="134">
      <c r="A903" s="2" t="n"/>
      <c r="B903" s="2" t="n"/>
      <c r="C903" s="2" t="n"/>
      <c r="D903" s="2" t="n"/>
      <c r="E903" s="2" t="n"/>
      <c r="F903" s="2" t="n"/>
    </row>
    <row r="904" ht="15.75" customHeight="1" s="134">
      <c r="A904" s="2" t="n"/>
      <c r="B904" s="2" t="n"/>
      <c r="C904" s="2" t="n"/>
      <c r="D904" s="2" t="n"/>
      <c r="E904" s="2" t="n"/>
      <c r="F904" s="2" t="n"/>
    </row>
    <row r="905" ht="15.75" customHeight="1" s="134">
      <c r="A905" s="2" t="n"/>
      <c r="B905" s="2" t="n"/>
      <c r="C905" s="2" t="n"/>
      <c r="D905" s="2" t="n"/>
      <c r="E905" s="2" t="n"/>
      <c r="F905" s="2" t="n"/>
    </row>
    <row r="906" ht="15.75" customHeight="1" s="134">
      <c r="A906" s="2" t="n"/>
      <c r="B906" s="2" t="n"/>
      <c r="C906" s="2" t="n"/>
      <c r="D906" s="2" t="n"/>
      <c r="E906" s="2" t="n"/>
      <c r="F906" s="2" t="n"/>
    </row>
    <row r="907" ht="15.75" customHeight="1" s="134">
      <c r="A907" s="2" t="n"/>
      <c r="B907" s="2" t="n"/>
      <c r="C907" s="2" t="n"/>
      <c r="D907" s="2" t="n"/>
      <c r="E907" s="2" t="n"/>
      <c r="F907" s="2" t="n"/>
    </row>
    <row r="908" ht="15.75" customHeight="1" s="134">
      <c r="A908" s="2" t="n"/>
      <c r="B908" s="2" t="n"/>
      <c r="C908" s="2" t="n"/>
      <c r="D908" s="2" t="n"/>
      <c r="E908" s="2" t="n"/>
      <c r="F908" s="2" t="n"/>
    </row>
    <row r="909" ht="15.75" customHeight="1" s="134">
      <c r="A909" s="2" t="n"/>
      <c r="B909" s="2" t="n"/>
      <c r="C909" s="2" t="n"/>
      <c r="D909" s="2" t="n"/>
      <c r="E909" s="2" t="n"/>
      <c r="F909" s="2" t="n"/>
    </row>
    <row r="910" ht="15.75" customHeight="1" s="134">
      <c r="A910" s="2" t="n"/>
      <c r="B910" s="2" t="n"/>
      <c r="C910" s="2" t="n"/>
      <c r="D910" s="2" t="n"/>
      <c r="E910" s="2" t="n"/>
      <c r="F910" s="2" t="n"/>
    </row>
    <row r="911" ht="15.75" customHeight="1" s="134">
      <c r="A911" s="2" t="n"/>
      <c r="B911" s="2" t="n"/>
      <c r="C911" s="2" t="n"/>
      <c r="D911" s="2" t="n"/>
      <c r="E911" s="2" t="n"/>
      <c r="F911" s="2" t="n"/>
    </row>
    <row r="912" ht="15.75" customHeight="1" s="134">
      <c r="A912" s="2" t="n"/>
      <c r="B912" s="2" t="n"/>
      <c r="C912" s="2" t="n"/>
      <c r="D912" s="2" t="n"/>
      <c r="E912" s="2" t="n"/>
      <c r="F912" s="2" t="n"/>
    </row>
    <row r="913" ht="15.75" customHeight="1" s="134">
      <c r="A913" s="2" t="n"/>
      <c r="B913" s="2" t="n"/>
      <c r="C913" s="2" t="n"/>
      <c r="D913" s="2" t="n"/>
      <c r="E913" s="2" t="n"/>
      <c r="F913" s="2" t="n"/>
    </row>
    <row r="914" ht="15.75" customHeight="1" s="134">
      <c r="A914" s="2" t="n"/>
      <c r="B914" s="2" t="n"/>
      <c r="C914" s="2" t="n"/>
      <c r="D914" s="2" t="n"/>
      <c r="E914" s="2" t="n"/>
      <c r="F914" s="2" t="n"/>
    </row>
    <row r="915" ht="15.75" customHeight="1" s="134">
      <c r="A915" s="2" t="n"/>
      <c r="B915" s="2" t="n"/>
      <c r="C915" s="2" t="n"/>
      <c r="D915" s="2" t="n"/>
      <c r="E915" s="2" t="n"/>
      <c r="F915" s="2" t="n"/>
    </row>
    <row r="916" ht="15.75" customHeight="1" s="134">
      <c r="A916" s="2" t="n"/>
      <c r="B916" s="2" t="n"/>
      <c r="C916" s="2" t="n"/>
      <c r="D916" s="2" t="n"/>
      <c r="E916" s="2" t="n"/>
      <c r="F916" s="2" t="n"/>
    </row>
    <row r="917" ht="15.75" customHeight="1" s="134">
      <c r="A917" s="2" t="n"/>
      <c r="B917" s="2" t="n"/>
      <c r="C917" s="2" t="n"/>
      <c r="D917" s="2" t="n"/>
      <c r="E917" s="2" t="n"/>
      <c r="F917" s="2" t="n"/>
    </row>
    <row r="918" ht="15.75" customHeight="1" s="134">
      <c r="A918" s="2" t="n"/>
      <c r="B918" s="2" t="n"/>
      <c r="C918" s="2" t="n"/>
      <c r="D918" s="2" t="n"/>
      <c r="E918" s="2" t="n"/>
      <c r="F918" s="2" t="n"/>
    </row>
    <row r="919" ht="15.75" customHeight="1" s="134">
      <c r="A919" s="2" t="n"/>
      <c r="B919" s="2" t="n"/>
      <c r="C919" s="2" t="n"/>
      <c r="D919" s="2" t="n"/>
      <c r="E919" s="2" t="n"/>
      <c r="F919" s="2" t="n"/>
    </row>
    <row r="920" ht="15.75" customHeight="1" s="134">
      <c r="A920" s="2" t="n"/>
      <c r="B920" s="2" t="n"/>
      <c r="C920" s="2" t="n"/>
      <c r="D920" s="2" t="n"/>
      <c r="E920" s="2" t="n"/>
      <c r="F920" s="2" t="n"/>
    </row>
    <row r="921" ht="15.75" customHeight="1" s="134">
      <c r="A921" s="2" t="n"/>
      <c r="B921" s="2" t="n"/>
      <c r="C921" s="2" t="n"/>
      <c r="D921" s="2" t="n"/>
      <c r="E921" s="2" t="n"/>
      <c r="F921" s="2" t="n"/>
    </row>
    <row r="922" ht="15.75" customHeight="1" s="134">
      <c r="A922" s="2" t="n"/>
      <c r="B922" s="2" t="n"/>
      <c r="C922" s="2" t="n"/>
      <c r="D922" s="2" t="n"/>
      <c r="E922" s="2" t="n"/>
      <c r="F922" s="2" t="n"/>
    </row>
    <row r="923" ht="15.75" customHeight="1" s="134">
      <c r="A923" s="2" t="n"/>
      <c r="B923" s="2" t="n"/>
      <c r="C923" s="2" t="n"/>
      <c r="D923" s="2" t="n"/>
      <c r="E923" s="2" t="n"/>
      <c r="F923" s="2" t="n"/>
    </row>
    <row r="924" ht="15.75" customHeight="1" s="134">
      <c r="A924" s="2" t="n"/>
      <c r="B924" s="2" t="n"/>
      <c r="C924" s="2" t="n"/>
      <c r="D924" s="2" t="n"/>
      <c r="E924" s="2" t="n"/>
      <c r="F924" s="2" t="n"/>
    </row>
    <row r="925" ht="15.75" customHeight="1" s="134">
      <c r="A925" s="2" t="n"/>
      <c r="B925" s="2" t="n"/>
      <c r="C925" s="2" t="n"/>
      <c r="D925" s="2" t="n"/>
      <c r="E925" s="2" t="n"/>
      <c r="F925" s="2" t="n"/>
    </row>
    <row r="926" ht="15.75" customHeight="1" s="134">
      <c r="A926" s="2" t="n"/>
      <c r="B926" s="2" t="n"/>
      <c r="C926" s="2" t="n"/>
      <c r="D926" s="2" t="n"/>
      <c r="E926" s="2" t="n"/>
      <c r="F926" s="2" t="n"/>
    </row>
    <row r="927" ht="15.75" customHeight="1" s="134">
      <c r="A927" s="2" t="n"/>
      <c r="B927" s="2" t="n"/>
      <c r="C927" s="2" t="n"/>
      <c r="D927" s="2" t="n"/>
      <c r="E927" s="2" t="n"/>
      <c r="F927" s="2" t="n"/>
    </row>
    <row r="928" ht="15.75" customHeight="1" s="134">
      <c r="A928" s="2" t="n"/>
      <c r="B928" s="2" t="n"/>
      <c r="C928" s="2" t="n"/>
      <c r="D928" s="2" t="n"/>
      <c r="E928" s="2" t="n"/>
      <c r="F928" s="2" t="n"/>
    </row>
    <row r="929" ht="15.75" customHeight="1" s="134">
      <c r="A929" s="2" t="n"/>
      <c r="B929" s="2" t="n"/>
      <c r="C929" s="2" t="n"/>
      <c r="D929" s="2" t="n"/>
      <c r="E929" s="2" t="n"/>
      <c r="F929" s="2" t="n"/>
    </row>
    <row r="930" ht="15.75" customHeight="1" s="134">
      <c r="A930" s="2" t="n"/>
      <c r="B930" s="2" t="n"/>
      <c r="C930" s="2" t="n"/>
      <c r="D930" s="2" t="n"/>
      <c r="E930" s="2" t="n"/>
      <c r="F930" s="2" t="n"/>
    </row>
    <row r="931" ht="15.75" customHeight="1" s="134">
      <c r="A931" s="2" t="n"/>
      <c r="B931" s="2" t="n"/>
      <c r="C931" s="2" t="n"/>
      <c r="D931" s="2" t="n"/>
      <c r="E931" s="2" t="n"/>
      <c r="F931" s="2" t="n"/>
    </row>
    <row r="932" ht="15.75" customHeight="1" s="134">
      <c r="A932" s="2" t="n"/>
      <c r="B932" s="2" t="n"/>
      <c r="C932" s="2" t="n"/>
      <c r="D932" s="2" t="n"/>
      <c r="E932" s="2" t="n"/>
      <c r="F932" s="2" t="n"/>
    </row>
    <row r="933" ht="15.75" customHeight="1" s="134">
      <c r="A933" s="2" t="n"/>
      <c r="B933" s="2" t="n"/>
      <c r="C933" s="2" t="n"/>
      <c r="D933" s="2" t="n"/>
      <c r="E933" s="2" t="n"/>
      <c r="F933" s="2" t="n"/>
    </row>
    <row r="934" ht="15.75" customHeight="1" s="134">
      <c r="A934" s="2" t="n"/>
      <c r="B934" s="2" t="n"/>
      <c r="C934" s="2" t="n"/>
      <c r="D934" s="2" t="n"/>
      <c r="E934" s="2" t="n"/>
      <c r="F934" s="2" t="n"/>
    </row>
    <row r="935" ht="15.75" customHeight="1" s="134">
      <c r="A935" s="2" t="n"/>
      <c r="B935" s="2" t="n"/>
      <c r="C935" s="2" t="n"/>
      <c r="D935" s="2" t="n"/>
      <c r="E935" s="2" t="n"/>
      <c r="F935" s="2" t="n"/>
    </row>
    <row r="936" ht="15.75" customHeight="1" s="134">
      <c r="A936" s="2" t="n"/>
      <c r="B936" s="2" t="n"/>
      <c r="C936" s="2" t="n"/>
      <c r="D936" s="2" t="n"/>
      <c r="E936" s="2" t="n"/>
      <c r="F936" s="2" t="n"/>
    </row>
    <row r="937" ht="15.75" customHeight="1" s="134">
      <c r="A937" s="2" t="n"/>
      <c r="B937" s="2" t="n"/>
      <c r="C937" s="2" t="n"/>
      <c r="D937" s="2" t="n"/>
      <c r="E937" s="2" t="n"/>
      <c r="F937" s="2" t="n"/>
    </row>
    <row r="938" ht="15.75" customHeight="1" s="134">
      <c r="A938" s="2" t="n"/>
      <c r="B938" s="2" t="n"/>
      <c r="C938" s="2" t="n"/>
      <c r="D938" s="2" t="n"/>
      <c r="E938" s="2" t="n"/>
      <c r="F938" s="2" t="n"/>
    </row>
    <row r="939" ht="15.75" customHeight="1" s="134">
      <c r="A939" s="2" t="n"/>
      <c r="B939" s="2" t="n"/>
      <c r="C939" s="2" t="n"/>
      <c r="D939" s="2" t="n"/>
      <c r="E939" s="2" t="n"/>
      <c r="F939" s="2" t="n"/>
    </row>
    <row r="940" ht="15.75" customHeight="1" s="134">
      <c r="A940" s="2" t="n"/>
      <c r="B940" s="2" t="n"/>
      <c r="C940" s="2" t="n"/>
      <c r="D940" s="2" t="n"/>
      <c r="E940" s="2" t="n"/>
      <c r="F940" s="2" t="n"/>
    </row>
    <row r="941" ht="15.75" customHeight="1" s="134">
      <c r="A941" s="2" t="n"/>
      <c r="B941" s="2" t="n"/>
      <c r="C941" s="2" t="n"/>
      <c r="D941" s="2" t="n"/>
      <c r="E941" s="2" t="n"/>
      <c r="F941" s="2" t="n"/>
    </row>
    <row r="942" ht="15.75" customHeight="1" s="134">
      <c r="A942" s="2" t="n"/>
      <c r="B942" s="2" t="n"/>
      <c r="C942" s="2" t="n"/>
      <c r="D942" s="2" t="n"/>
      <c r="E942" s="2" t="n"/>
      <c r="F942" s="2" t="n"/>
    </row>
    <row r="943" ht="15.75" customHeight="1" s="134">
      <c r="A943" s="2" t="n"/>
      <c r="B943" s="2" t="n"/>
      <c r="C943" s="2" t="n"/>
      <c r="D943" s="2" t="n"/>
      <c r="E943" s="2" t="n"/>
      <c r="F943" s="2" t="n"/>
    </row>
    <row r="944" ht="15.75" customHeight="1" s="134">
      <c r="A944" s="2" t="n"/>
      <c r="B944" s="2" t="n"/>
      <c r="C944" s="2" t="n"/>
      <c r="D944" s="2" t="n"/>
      <c r="E944" s="2" t="n"/>
      <c r="F944" s="2" t="n"/>
    </row>
    <row r="945" ht="15.75" customHeight="1" s="134">
      <c r="A945" s="2" t="n"/>
      <c r="B945" s="2" t="n"/>
      <c r="C945" s="2" t="n"/>
      <c r="D945" s="2" t="n"/>
      <c r="E945" s="2" t="n"/>
      <c r="F945" s="2" t="n"/>
    </row>
    <row r="946" ht="15.75" customHeight="1" s="134">
      <c r="A946" s="2" t="n"/>
      <c r="B946" s="2" t="n"/>
      <c r="C946" s="2" t="n"/>
      <c r="D946" s="2" t="n"/>
      <c r="E946" s="2" t="n"/>
      <c r="F946" s="2" t="n"/>
    </row>
    <row r="947" ht="15.75" customHeight="1" s="134">
      <c r="A947" s="2" t="n"/>
      <c r="B947" s="2" t="n"/>
      <c r="C947" s="2" t="n"/>
      <c r="D947" s="2" t="n"/>
      <c r="E947" s="2" t="n"/>
      <c r="F947" s="2" t="n"/>
    </row>
    <row r="948" ht="15.75" customHeight="1" s="134">
      <c r="A948" s="2" t="n"/>
      <c r="B948" s="2" t="n"/>
      <c r="C948" s="2" t="n"/>
      <c r="D948" s="2" t="n"/>
      <c r="E948" s="2" t="n"/>
      <c r="F948" s="2" t="n"/>
    </row>
    <row r="949" ht="15.75" customHeight="1" s="134">
      <c r="A949" s="2" t="n"/>
      <c r="B949" s="2" t="n"/>
      <c r="C949" s="2" t="n"/>
      <c r="D949" s="2" t="n"/>
      <c r="E949" s="2" t="n"/>
      <c r="F949" s="2" t="n"/>
    </row>
    <row r="950" ht="15.75" customHeight="1" s="134">
      <c r="A950" s="2" t="n"/>
      <c r="B950" s="2" t="n"/>
      <c r="C950" s="2" t="n"/>
      <c r="D950" s="2" t="n"/>
      <c r="E950" s="2" t="n"/>
      <c r="F950" s="2" t="n"/>
    </row>
    <row r="951" ht="15.75" customHeight="1" s="134">
      <c r="A951" s="2" t="n"/>
      <c r="B951" s="2" t="n"/>
      <c r="C951" s="2" t="n"/>
      <c r="D951" s="2" t="n"/>
      <c r="E951" s="2" t="n"/>
      <c r="F951" s="2" t="n"/>
    </row>
    <row r="952" ht="15.75" customHeight="1" s="134">
      <c r="A952" s="2" t="n"/>
      <c r="B952" s="2" t="n"/>
      <c r="C952" s="2" t="n"/>
      <c r="D952" s="2" t="n"/>
      <c r="E952" s="2" t="n"/>
      <c r="F952" s="2" t="n"/>
    </row>
    <row r="953" ht="15.75" customHeight="1" s="134">
      <c r="A953" s="2" t="n"/>
      <c r="B953" s="2" t="n"/>
      <c r="C953" s="2" t="n"/>
      <c r="D953" s="2" t="n"/>
      <c r="E953" s="2" t="n"/>
      <c r="F953" s="2" t="n"/>
    </row>
    <row r="954" ht="15.75" customHeight="1" s="134">
      <c r="A954" s="2" t="n"/>
      <c r="B954" s="2" t="n"/>
      <c r="C954" s="2" t="n"/>
      <c r="D954" s="2" t="n"/>
      <c r="E954" s="2" t="n"/>
      <c r="F954" s="2" t="n"/>
    </row>
    <row r="955" ht="15.75" customHeight="1" s="134">
      <c r="A955" s="2" t="n"/>
      <c r="B955" s="2" t="n"/>
      <c r="C955" s="2" t="n"/>
      <c r="D955" s="2" t="n"/>
      <c r="E955" s="2" t="n"/>
      <c r="F955" s="2" t="n"/>
    </row>
    <row r="956" ht="15.75" customHeight="1" s="134">
      <c r="A956" s="2" t="n"/>
      <c r="B956" s="2" t="n"/>
      <c r="C956" s="2" t="n"/>
      <c r="D956" s="2" t="n"/>
      <c r="E956" s="2" t="n"/>
      <c r="F956" s="2" t="n"/>
    </row>
    <row r="957" ht="15.75" customHeight="1" s="134">
      <c r="A957" s="2" t="n"/>
      <c r="B957" s="2" t="n"/>
      <c r="C957" s="2" t="n"/>
      <c r="D957" s="2" t="n"/>
      <c r="E957" s="2" t="n"/>
      <c r="F957" s="2" t="n"/>
    </row>
    <row r="958" ht="15.75" customHeight="1" s="134">
      <c r="A958" s="2" t="n"/>
      <c r="B958" s="2" t="n"/>
      <c r="C958" s="2" t="n"/>
      <c r="D958" s="2" t="n"/>
      <c r="E958" s="2" t="n"/>
      <c r="F958" s="2" t="n"/>
    </row>
    <row r="959" ht="15.75" customHeight="1" s="134">
      <c r="A959" s="2" t="n"/>
      <c r="B959" s="2" t="n"/>
      <c r="C959" s="2" t="n"/>
      <c r="D959" s="2" t="n"/>
      <c r="E959" s="2" t="n"/>
      <c r="F959" s="2" t="n"/>
    </row>
    <row r="960" ht="15.75" customHeight="1" s="134">
      <c r="A960" s="2" t="n"/>
      <c r="B960" s="2" t="n"/>
      <c r="C960" s="2" t="n"/>
      <c r="D960" s="2" t="n"/>
      <c r="E960" s="2" t="n"/>
      <c r="F960" s="2" t="n"/>
    </row>
    <row r="961" ht="15.75" customHeight="1" s="134">
      <c r="A961" s="2" t="n"/>
      <c r="B961" s="2" t="n"/>
      <c r="C961" s="2" t="n"/>
      <c r="D961" s="2" t="n"/>
      <c r="E961" s="2" t="n"/>
      <c r="F961" s="2" t="n"/>
    </row>
    <row r="962" ht="15.75" customHeight="1" s="134">
      <c r="A962" s="2" t="n"/>
      <c r="B962" s="2" t="n"/>
      <c r="C962" s="2" t="n"/>
      <c r="D962" s="2" t="n"/>
      <c r="E962" s="2" t="n"/>
      <c r="F962" s="2" t="n"/>
    </row>
    <row r="963" ht="15.75" customHeight="1" s="134">
      <c r="A963" s="2" t="n"/>
      <c r="B963" s="2" t="n"/>
      <c r="C963" s="2" t="n"/>
      <c r="D963" s="2" t="n"/>
      <c r="E963" s="2" t="n"/>
      <c r="F963" s="2" t="n"/>
    </row>
    <row r="964" ht="15.75" customHeight="1" s="134">
      <c r="A964" s="2" t="n"/>
      <c r="B964" s="2" t="n"/>
      <c r="C964" s="2" t="n"/>
      <c r="D964" s="2" t="n"/>
      <c r="E964" s="2" t="n"/>
      <c r="F964" s="2" t="n"/>
    </row>
    <row r="965" ht="15.75" customHeight="1" s="134">
      <c r="A965" s="2" t="n"/>
      <c r="B965" s="2" t="n"/>
      <c r="C965" s="2" t="n"/>
      <c r="D965" s="2" t="n"/>
      <c r="E965" s="2" t="n"/>
      <c r="F965" s="2" t="n"/>
    </row>
    <row r="966" ht="15.75" customHeight="1" s="134">
      <c r="A966" s="2" t="n"/>
      <c r="B966" s="2" t="n"/>
      <c r="C966" s="2" t="n"/>
      <c r="D966" s="2" t="n"/>
      <c r="E966" s="2" t="n"/>
      <c r="F966" s="2" t="n"/>
    </row>
    <row r="967" ht="15.75" customHeight="1" s="134">
      <c r="A967" s="2" t="n"/>
      <c r="B967" s="2" t="n"/>
      <c r="C967" s="2" t="n"/>
      <c r="D967" s="2" t="n"/>
      <c r="E967" s="2" t="n"/>
      <c r="F967" s="2" t="n"/>
    </row>
    <row r="968" ht="15.75" customHeight="1" s="134">
      <c r="A968" s="2" t="n"/>
      <c r="B968" s="2" t="n"/>
      <c r="C968" s="2" t="n"/>
      <c r="D968" s="2" t="n"/>
      <c r="E968" s="2" t="n"/>
      <c r="F968" s="2" t="n"/>
    </row>
    <row r="969" ht="15.75" customHeight="1" s="134">
      <c r="A969" s="2" t="n"/>
      <c r="B969" s="2" t="n"/>
      <c r="C969" s="2" t="n"/>
      <c r="D969" s="2" t="n"/>
      <c r="E969" s="2" t="n"/>
      <c r="F969" s="2" t="n"/>
    </row>
    <row r="970" ht="15.75" customHeight="1" s="134">
      <c r="A970" s="2" t="n"/>
      <c r="B970" s="2" t="n"/>
      <c r="C970" s="2" t="n"/>
      <c r="D970" s="2" t="n"/>
      <c r="E970" s="2" t="n"/>
      <c r="F970" s="2" t="n"/>
    </row>
    <row r="971" ht="15.75" customHeight="1" s="134">
      <c r="A971" s="2" t="n"/>
      <c r="B971" s="2" t="n"/>
      <c r="C971" s="2" t="n"/>
      <c r="D971" s="2" t="n"/>
      <c r="E971" s="2" t="n"/>
      <c r="F971" s="2" t="n"/>
    </row>
    <row r="972" ht="15.75" customHeight="1" s="134">
      <c r="A972" s="2" t="n"/>
      <c r="B972" s="2" t="n"/>
      <c r="C972" s="2" t="n"/>
      <c r="D972" s="2" t="n"/>
      <c r="E972" s="2" t="n"/>
      <c r="F972" s="2" t="n"/>
    </row>
    <row r="973" ht="15.75" customHeight="1" s="134">
      <c r="A973" s="2" t="n"/>
      <c r="B973" s="2" t="n"/>
      <c r="C973" s="2" t="n"/>
      <c r="D973" s="2" t="n"/>
      <c r="E973" s="2" t="n"/>
      <c r="F973" s="2" t="n"/>
    </row>
    <row r="974" ht="15.75" customHeight="1" s="134">
      <c r="A974" s="2" t="n"/>
      <c r="B974" s="2" t="n"/>
      <c r="C974" s="2" t="n"/>
      <c r="D974" s="2" t="n"/>
      <c r="E974" s="2" t="n"/>
      <c r="F974" s="2" t="n"/>
    </row>
    <row r="975" ht="15.75" customHeight="1" s="134">
      <c r="A975" s="2" t="n"/>
      <c r="B975" s="2" t="n"/>
      <c r="C975" s="2" t="n"/>
      <c r="D975" s="2" t="n"/>
      <c r="E975" s="2" t="n"/>
      <c r="F975" s="2" t="n"/>
    </row>
    <row r="976" ht="15.75" customHeight="1" s="134">
      <c r="A976" s="2" t="n"/>
      <c r="B976" s="2" t="n"/>
      <c r="C976" s="2" t="n"/>
      <c r="D976" s="2" t="n"/>
      <c r="E976" s="2" t="n"/>
      <c r="F976" s="2" t="n"/>
    </row>
    <row r="977" ht="15.75" customHeight="1" s="134">
      <c r="A977" s="2" t="n"/>
      <c r="B977" s="2" t="n"/>
      <c r="C977" s="2" t="n"/>
      <c r="D977" s="2" t="n"/>
      <c r="E977" s="2" t="n"/>
      <c r="F977" s="2" t="n"/>
    </row>
    <row r="978" ht="15.75" customHeight="1" s="134">
      <c r="A978" s="2" t="n"/>
      <c r="B978" s="2" t="n"/>
      <c r="C978" s="2" t="n"/>
      <c r="D978" s="2" t="n"/>
      <c r="E978" s="2" t="n"/>
      <c r="F978" s="2" t="n"/>
    </row>
    <row r="979" ht="15.75" customHeight="1" s="134">
      <c r="A979" s="2" t="n"/>
      <c r="B979" s="2" t="n"/>
      <c r="C979" s="2" t="n"/>
      <c r="D979" s="2" t="n"/>
      <c r="E979" s="2" t="n"/>
      <c r="F979" s="2" t="n"/>
    </row>
    <row r="980" ht="15.75" customHeight="1" s="134">
      <c r="A980" s="2" t="n"/>
      <c r="B980" s="2" t="n"/>
      <c r="C980" s="2" t="n"/>
      <c r="D980" s="2" t="n"/>
      <c r="E980" s="2" t="n"/>
      <c r="F980" s="2" t="n"/>
    </row>
    <row r="981" ht="15.75" customHeight="1" s="134">
      <c r="A981" s="2" t="n"/>
      <c r="B981" s="2" t="n"/>
      <c r="C981" s="2" t="n"/>
      <c r="D981" s="2" t="n"/>
      <c r="E981" s="2" t="n"/>
      <c r="F981" s="2" t="n"/>
    </row>
    <row r="982" ht="15.75" customHeight="1" s="134">
      <c r="A982" s="2" t="n"/>
      <c r="B982" s="2" t="n"/>
      <c r="C982" s="2" t="n"/>
      <c r="D982" s="2" t="n"/>
      <c r="E982" s="2" t="n"/>
      <c r="F982" s="2" t="n"/>
    </row>
    <row r="983" ht="15.75" customHeight="1" s="134">
      <c r="A983" s="2" t="n"/>
      <c r="B983" s="2" t="n"/>
      <c r="C983" s="2" t="n"/>
      <c r="D983" s="2" t="n"/>
      <c r="E983" s="2" t="n"/>
      <c r="F983" s="2" t="n"/>
    </row>
    <row r="984" ht="15.75" customHeight="1" s="134">
      <c r="A984" s="2" t="n"/>
      <c r="B984" s="2" t="n"/>
      <c r="C984" s="2" t="n"/>
      <c r="D984" s="2" t="n"/>
      <c r="E984" s="2" t="n"/>
      <c r="F984" s="2" t="n"/>
    </row>
    <row r="985" ht="15.75" customHeight="1" s="134">
      <c r="A985" s="2" t="n"/>
      <c r="B985" s="2" t="n"/>
      <c r="C985" s="2" t="n"/>
      <c r="D985" s="2" t="n"/>
      <c r="E985" s="2" t="n"/>
      <c r="F985" s="2" t="n"/>
    </row>
    <row r="986" ht="15.75" customHeight="1" s="134">
      <c r="A986" s="2" t="n"/>
      <c r="B986" s="2" t="n"/>
      <c r="C986" s="2" t="n"/>
      <c r="D986" s="2" t="n"/>
      <c r="E986" s="2" t="n"/>
      <c r="F986" s="2" t="n"/>
    </row>
    <row r="987" ht="15.75" customHeight="1" s="134">
      <c r="A987" s="2" t="n"/>
      <c r="B987" s="2" t="n"/>
      <c r="C987" s="2" t="n"/>
      <c r="D987" s="2" t="n"/>
      <c r="E987" s="2" t="n"/>
      <c r="F987" s="2" t="n"/>
    </row>
    <row r="988" ht="15.75" customHeight="1" s="134">
      <c r="A988" s="2" t="n"/>
      <c r="B988" s="2" t="n"/>
      <c r="C988" s="2" t="n"/>
      <c r="D988" s="2" t="n"/>
      <c r="E988" s="2" t="n"/>
      <c r="F988" s="2" t="n"/>
    </row>
    <row r="989" ht="15.75" customHeight="1" s="134">
      <c r="A989" s="2" t="n"/>
      <c r="B989" s="2" t="n"/>
      <c r="C989" s="2" t="n"/>
      <c r="D989" s="2" t="n"/>
      <c r="E989" s="2" t="n"/>
      <c r="F989" s="2" t="n"/>
    </row>
    <row r="990" ht="15.75" customHeight="1" s="134">
      <c r="A990" s="2" t="n"/>
      <c r="B990" s="2" t="n"/>
      <c r="C990" s="2" t="n"/>
      <c r="D990" s="2" t="n"/>
      <c r="E990" s="2" t="n"/>
      <c r="F990" s="2" t="n"/>
    </row>
    <row r="991" ht="15.75" customHeight="1" s="134">
      <c r="A991" s="2" t="n"/>
      <c r="B991" s="2" t="n"/>
      <c r="C991" s="2" t="n"/>
      <c r="D991" s="2" t="n"/>
      <c r="E991" s="2" t="n"/>
      <c r="F991" s="2" t="n"/>
    </row>
    <row r="992" ht="15.75" customHeight="1" s="134">
      <c r="A992" s="2" t="n"/>
      <c r="B992" s="2" t="n"/>
      <c r="C992" s="2" t="n"/>
      <c r="D992" s="2" t="n"/>
      <c r="E992" s="2" t="n"/>
      <c r="F992" s="2" t="n"/>
    </row>
    <row r="993" ht="15.75" customHeight="1" s="134">
      <c r="A993" s="2" t="n"/>
      <c r="B993" s="2" t="n"/>
      <c r="C993" s="2" t="n"/>
      <c r="D993" s="2" t="n"/>
      <c r="E993" s="2" t="n"/>
      <c r="F993" s="2" t="n"/>
    </row>
    <row r="994" ht="15.75" customHeight="1" s="134">
      <c r="A994" s="2" t="n"/>
      <c r="B994" s="2" t="n"/>
      <c r="C994" s="2" t="n"/>
      <c r="D994" s="2" t="n"/>
      <c r="E994" s="2" t="n"/>
      <c r="F994" s="2" t="n"/>
    </row>
    <row r="995" ht="15.75" customHeight="1" s="134">
      <c r="A995" s="2" t="n"/>
      <c r="B995" s="2" t="n"/>
      <c r="C995" s="2" t="n"/>
      <c r="D995" s="2" t="n"/>
      <c r="E995" s="2" t="n"/>
      <c r="F995" s="2" t="n"/>
    </row>
    <row r="996" ht="15.75" customHeight="1" s="134">
      <c r="A996" s="2" t="n"/>
      <c r="B996" s="2" t="n"/>
      <c r="C996" s="2" t="n"/>
      <c r="D996" s="2" t="n"/>
      <c r="E996" s="2" t="n"/>
      <c r="F996" s="2" t="n"/>
    </row>
    <row r="997" ht="15.75" customHeight="1" s="134">
      <c r="A997" s="2" t="n"/>
      <c r="B997" s="2" t="n"/>
      <c r="C997" s="2" t="n"/>
      <c r="D997" s="2" t="n"/>
      <c r="E997" s="2" t="n"/>
      <c r="F997" s="2" t="n"/>
    </row>
    <row r="998" ht="15.75" customHeight="1" s="134">
      <c r="A998" s="2" t="n"/>
      <c r="B998" s="2" t="n"/>
      <c r="C998" s="2" t="n"/>
      <c r="D998" s="2" t="n"/>
      <c r="E998" s="2" t="n"/>
      <c r="F998" s="2" t="n"/>
    </row>
    <row r="999" ht="15.75" customHeight="1" s="134">
      <c r="A999" s="2" t="n"/>
      <c r="B999" s="2" t="n"/>
      <c r="C999" s="2" t="n"/>
      <c r="D999" s="2" t="n"/>
      <c r="E999" s="2" t="n"/>
      <c r="F999" s="2" t="n"/>
    </row>
    <row r="1000" ht="15.75" customHeight="1" s="134">
      <c r="A1000" s="2" t="n"/>
      <c r="B1000" s="2" t="n"/>
      <c r="C1000" s="2" t="n"/>
      <c r="D1000" s="2" t="n"/>
      <c r="E1000" s="2" t="n"/>
      <c r="F1000" s="2" t="n"/>
    </row>
  </sheetData>
  <mergeCells count="1">
    <mergeCell ref="A1:B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2026-08-24T09:07:41Z</dcterms:created>
  <dcterms:modified xmlns:dcterms="http://purl.org/dc/terms/" xmlns:xsi="http://www.w3.org/2001/XMLSchema-instance" xsi:type="dcterms:W3CDTF">2026-08-31T09:33:01Z</dcterms:modified>
</cp:coreProperties>
</file>