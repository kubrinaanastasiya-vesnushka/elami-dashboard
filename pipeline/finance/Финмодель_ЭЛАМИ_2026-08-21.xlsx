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пущения" sheetId="1" state="visible" r:id="rId1"/>
    <sheet xmlns:r="http://schemas.openxmlformats.org/officeDocument/2006/relationships" name="П&amp;Л факт 2026" sheetId="2" state="visible" r:id="rId2"/>
    <sheet xmlns:r="http://schemas.openxmlformats.org/officeDocument/2006/relationships" name="Драйверы YClients" sheetId="3" state="visible" r:id="rId3"/>
    <sheet xmlns:r="http://schemas.openxmlformats.org/officeDocument/2006/relationships" name="Прогноз выручки" sheetId="4" state="visible" r:id="rId4"/>
    <sheet xmlns:r="http://schemas.openxmlformats.org/officeDocument/2006/relationships" name="Прогноз прибыли" sheetId="5" state="visible" r:id="rId5"/>
    <sheet xmlns:r="http://schemas.openxmlformats.org/officeDocument/2006/relationships" name="Косметика — методологи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₽"/>
    <numFmt numFmtId="165" formatCode="0.0%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i val="1"/>
      <color rgb="00666666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1C3D0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3" fillId="3" borderId="0" pivotButton="0" quotePrefix="0" xfId="0"/>
    <xf numFmtId="165" fontId="3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8" customWidth="1" min="3" max="3"/>
    <col width="78" customWidth="1" min="4" max="4"/>
  </cols>
  <sheetData>
    <row r="1">
      <c r="A1" s="1" t="inlineStr">
        <is>
          <t>ДОПУЩЕНИЯ МОДЕЛИ — меняй жёлтые ячейки, всё остальное пересчитается само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Ед.</t>
        </is>
      </c>
      <c r="D3" s="2" t="inlineStr">
        <is>
          <t>Комментарий</t>
        </is>
      </c>
    </row>
    <row r="4">
      <c r="A4" t="inlineStr">
        <is>
          <t>База по выручке (среднее июнь-июль)</t>
        </is>
      </c>
      <c r="B4" s="3" t="n">
        <v>2403436</v>
      </c>
      <c r="C4" t="inlineStr">
        <is>
          <t>₽/мес</t>
        </is>
      </c>
      <c r="D4" t="inlineStr">
        <is>
          <t>Единственные два «чистых» закрытых месяца — так ты сама пометила в П&amp;Л</t>
        </is>
      </c>
    </row>
    <row r="5">
      <c r="A5" t="inlineStr">
        <is>
          <t>Рост/спад к базе — Базовый сценарий</t>
        </is>
      </c>
      <c r="B5" s="4" t="n">
        <v>0</v>
      </c>
      <c r="C5" t="inlineStr">
        <is>
          <t>%</t>
        </is>
      </c>
      <c r="D5" t="inlineStr">
        <is>
          <t>0% = держим уровень июня-июля</t>
        </is>
      </c>
    </row>
    <row r="6">
      <c r="A6" t="inlineStr">
        <is>
          <t>Рост/спад к базе — Оптимистичный сценарий</t>
        </is>
      </c>
      <c r="B6" s="4" t="n">
        <v>0.1</v>
      </c>
      <c r="C6" t="inlineStr">
        <is>
          <t>%</t>
        </is>
      </c>
      <c r="D6" t="inlineStr"/>
    </row>
    <row r="7">
      <c r="A7" t="inlineStr">
        <is>
          <t>Рост/спад к базе — Пессимистичный сценарий</t>
        </is>
      </c>
      <c r="B7" s="4" t="n">
        <v>-0.15</v>
      </c>
      <c r="C7" t="inlineStr">
        <is>
          <t>%</t>
        </is>
      </c>
      <c r="D7" t="inlineStr">
        <is>
          <t>Август пока слабее базы — см. лист «Драйверы YClients»</t>
        </is>
      </c>
    </row>
    <row r="8">
      <c r="A8" t="inlineStr">
        <is>
          <t>Переменные расходы, % от выручки</t>
        </is>
      </c>
      <c r="B8" s="4" t="n">
        <v>0.493</v>
      </c>
      <c r="C8" t="inlineStr">
        <is>
          <t>%</t>
        </is>
      </c>
      <c r="D8" t="inlineStr">
        <is>
          <t>Среднее «Прямые расходы» / Выручка за июнь-июль из твоего П&amp;Л (материалы + ЗП мастеров)</t>
        </is>
      </c>
    </row>
    <row r="9">
      <c r="A9" t="inlineStr">
        <is>
          <t>Постоянные расходы</t>
        </is>
      </c>
      <c r="B9" s="3" t="n">
        <v>724000</v>
      </c>
      <c r="C9" t="inlineStr">
        <is>
          <t>₽/мес</t>
        </is>
      </c>
      <c r="D9" t="inlineStr">
        <is>
          <t>«Косвенные расходы» июнь-июль БЕЗ закупки космметики (аренда, ФОТ офиса, IT, банк/налоги)</t>
        </is>
      </c>
    </row>
    <row r="10">
      <c r="A10" t="inlineStr">
        <is>
          <t>Закупка косметики на продажу (сглажено)</t>
        </is>
      </c>
      <c r="B10" s="3" t="n">
        <v>134438</v>
      </c>
      <c r="C10" t="inlineStr">
        <is>
          <t>₽/мес</t>
        </is>
      </c>
      <c r="D10" t="inlineStr">
        <is>
          <t>(Сумма закупок янв-авг) / 8 — временное решение, см. лист «Косметика — методология»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П&amp;Л факт — из выгрузки Adesk (2026-08-21), без изменений</t>
        </is>
      </c>
    </row>
    <row r="2">
      <c r="A2" s="2" t="inlineStr">
        <is>
          <t>Статья</t>
        </is>
      </c>
      <c r="B2" s="2" t="inlineStr">
        <is>
          <t>Январь</t>
        </is>
      </c>
      <c r="C2" s="2" t="inlineStr">
        <is>
          <t>Февраль</t>
        </is>
      </c>
      <c r="D2" s="2" t="inlineStr">
        <is>
          <t>Март</t>
        </is>
      </c>
      <c r="E2" s="2" t="inlineStr">
        <is>
          <t>Апрель</t>
        </is>
      </c>
      <c r="F2" s="2" t="inlineStr">
        <is>
          <t>Май</t>
        </is>
      </c>
      <c r="G2" s="2" t="inlineStr">
        <is>
          <t>Июнь</t>
        </is>
      </c>
      <c r="H2" s="2" t="inlineStr">
        <is>
          <t>Июль</t>
        </is>
      </c>
      <c r="I2" s="2" t="inlineStr">
        <is>
          <t>Август*</t>
        </is>
      </c>
    </row>
    <row r="3">
      <c r="A3" t="inlineStr">
        <is>
          <t>Выручка</t>
        </is>
      </c>
      <c r="B3" s="5" t="n">
        <v>607057</v>
      </c>
      <c r="C3" s="5" t="n">
        <v>711918</v>
      </c>
      <c r="D3" s="5" t="n">
        <v>1949364</v>
      </c>
      <c r="E3" s="5" t="n">
        <v>1451132</v>
      </c>
      <c r="F3" s="5" t="n">
        <v>2657327</v>
      </c>
      <c r="G3" s="5" t="n">
        <v>2417021</v>
      </c>
      <c r="H3" s="5" t="n">
        <v>2389851</v>
      </c>
      <c r="I3" s="5" t="n">
        <v>1130940</v>
      </c>
    </row>
    <row r="4">
      <c r="A4" t="inlineStr">
        <is>
          <t>Прямые расходы (переменные)</t>
        </is>
      </c>
      <c r="B4" s="5" t="n">
        <v>-422251</v>
      </c>
      <c r="C4" s="5" t="n">
        <v>-425170</v>
      </c>
      <c r="D4" s="5" t="n">
        <v>-1120269</v>
      </c>
      <c r="E4" s="5" t="n">
        <v>-739891</v>
      </c>
      <c r="F4" s="5" t="n">
        <v>-1556820</v>
      </c>
      <c r="G4" s="5" t="n">
        <v>-1096289</v>
      </c>
      <c r="H4" s="5" t="n">
        <v>-1274531</v>
      </c>
      <c r="I4" s="5" t="n">
        <v>-133291</v>
      </c>
    </row>
    <row r="5">
      <c r="A5" s="6" t="inlineStr">
        <is>
          <t xml:space="preserve">  в т.ч. Расходные материалы</t>
        </is>
      </c>
      <c r="B5" s="5" t="n">
        <v>-84976</v>
      </c>
      <c r="C5" s="5" t="n">
        <v>-117700</v>
      </c>
      <c r="D5" s="5" t="n">
        <v>-729571</v>
      </c>
      <c r="E5" s="5" t="n">
        <v>-333935</v>
      </c>
      <c r="F5" s="5" t="n">
        <v>-920919</v>
      </c>
      <c r="G5" s="5" t="n">
        <v>-551863</v>
      </c>
      <c r="H5" s="5" t="n">
        <v>-581642</v>
      </c>
      <c r="I5" s="5" t="n">
        <v>-108291</v>
      </c>
    </row>
    <row r="6">
      <c r="A6" s="6" t="inlineStr">
        <is>
          <t xml:space="preserve">  в т.ч. ФОТ специалистов</t>
        </is>
      </c>
      <c r="B6" s="5" t="n">
        <v>-337275</v>
      </c>
      <c r="C6" s="5" t="n">
        <v>-307470</v>
      </c>
      <c r="D6" s="5" t="n">
        <v>-390698</v>
      </c>
      <c r="E6" s="5" t="n">
        <v>-405956</v>
      </c>
      <c r="F6" s="5" t="n">
        <v>-635901</v>
      </c>
      <c r="G6" s="5" t="n">
        <v>-544426</v>
      </c>
      <c r="H6" s="5" t="n">
        <v>-692889</v>
      </c>
      <c r="I6" s="5" t="n">
        <v>-25000</v>
      </c>
    </row>
    <row r="7">
      <c r="A7" s="7" t="inlineStr">
        <is>
          <t>Валовая прибыль</t>
        </is>
      </c>
      <c r="B7" s="8" t="n">
        <v>184806</v>
      </c>
      <c r="C7" s="8" t="n">
        <v>286748</v>
      </c>
      <c r="D7" s="8" t="n">
        <v>829095</v>
      </c>
      <c r="E7" s="8" t="n">
        <v>711241</v>
      </c>
      <c r="F7" s="8" t="n">
        <v>1100507</v>
      </c>
      <c r="G7" s="8" t="n">
        <v>1320732</v>
      </c>
      <c r="H7" s="8" t="n">
        <v>1115320</v>
      </c>
      <c r="I7" s="8" t="n">
        <v>997649</v>
      </c>
    </row>
    <row r="8">
      <c r="A8" t="inlineStr">
        <is>
          <t>Косвенные расходы (постоянные+прочее)</t>
        </is>
      </c>
      <c r="B8" s="5" t="n">
        <v>-282741</v>
      </c>
      <c r="C8" s="5" t="n">
        <v>-444671</v>
      </c>
      <c r="D8" s="5" t="n">
        <v>-942541</v>
      </c>
      <c r="E8" s="5" t="n">
        <v>-621197</v>
      </c>
      <c r="F8" s="5" t="n">
        <v>-691519</v>
      </c>
      <c r="G8" s="5" t="n">
        <v>-1258711</v>
      </c>
      <c r="H8" s="5" t="n">
        <v>-883135</v>
      </c>
      <c r="I8" s="5" t="n">
        <v>-523122</v>
      </c>
    </row>
    <row r="9">
      <c r="A9" s="6" t="inlineStr">
        <is>
          <t xml:space="preserve">  в т.ч. Закупка косметики на продажу</t>
        </is>
      </c>
      <c r="B9" s="5" t="n">
        <v>0</v>
      </c>
      <c r="C9" s="5" t="n">
        <v>0</v>
      </c>
      <c r="D9" s="5" t="n">
        <v>-298880</v>
      </c>
      <c r="E9" s="5" t="n">
        <v>0</v>
      </c>
      <c r="F9" s="5" t="n">
        <v>-38430</v>
      </c>
      <c r="G9" s="5" t="n">
        <v>-503954</v>
      </c>
      <c r="H9" s="5" t="n">
        <v>-189243</v>
      </c>
      <c r="I9" s="5" t="n">
        <v>-45000</v>
      </c>
    </row>
    <row r="10">
      <c r="A10" s="7" t="inlineStr">
        <is>
          <t>Операционная прибыль</t>
        </is>
      </c>
      <c r="B10" s="8" t="n">
        <v>-97935</v>
      </c>
      <c r="C10" s="8" t="n">
        <v>-157923</v>
      </c>
      <c r="D10" s="8" t="n">
        <v>-113446</v>
      </c>
      <c r="E10" s="8" t="n">
        <v>90044</v>
      </c>
      <c r="F10" s="8" t="n">
        <v>408989</v>
      </c>
      <c r="G10" s="8" t="n">
        <v>62021</v>
      </c>
      <c r="H10" s="8" t="n">
        <v>232184</v>
      </c>
      <c r="I10" s="8" t="n">
        <v>474527</v>
      </c>
    </row>
    <row r="11">
      <c r="A11" s="7" t="inlineStr">
        <is>
          <t>Чистая прибыль</t>
        </is>
      </c>
      <c r="B11" s="8" t="n">
        <v>-104220</v>
      </c>
      <c r="C11" s="8" t="n">
        <v>-158413</v>
      </c>
      <c r="D11" s="8" t="n">
        <v>-117900</v>
      </c>
      <c r="E11" s="8" t="n">
        <v>100219</v>
      </c>
      <c r="F11" s="8" t="n">
        <v>408989</v>
      </c>
      <c r="G11" s="8" t="n">
        <v>-3026</v>
      </c>
      <c r="H11" s="8" t="n">
        <v>229184</v>
      </c>
      <c r="I11" s="8" t="n">
        <v>444092</v>
      </c>
    </row>
    <row r="12">
      <c r="A12" s="9" t="inlineStr">
        <is>
          <t>* Август — не закрытый месяц (данные по 21.08), не показатель за полный месяц.</t>
        </is>
      </c>
    </row>
  </sheetData>
  <mergeCells count="2">
    <mergeCell ref="A1:I1"/>
    <mergeCell ref="A12:I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Операционные драйверы — из YClients-пайплайна дашборда (не из Adesk)</t>
        </is>
      </c>
    </row>
    <row r="2">
      <c r="A2" s="2" t="inlineStr">
        <is>
          <t>Метрика</t>
        </is>
      </c>
      <c r="B2" s="2" t="inlineStr">
        <is>
          <t>Январь</t>
        </is>
      </c>
      <c r="C2" s="2" t="inlineStr">
        <is>
          <t>Февраль</t>
        </is>
      </c>
      <c r="D2" s="2" t="inlineStr">
        <is>
          <t>Март</t>
        </is>
      </c>
      <c r="E2" s="2" t="inlineStr">
        <is>
          <t>Апрель</t>
        </is>
      </c>
      <c r="F2" s="2" t="inlineStr">
        <is>
          <t>Май</t>
        </is>
      </c>
      <c r="G2" s="2" t="inlineStr">
        <is>
          <t>Июнь</t>
        </is>
      </c>
      <c r="H2" s="2" t="inlineStr">
        <is>
          <t>Июль</t>
        </is>
      </c>
      <c r="I2" s="2" t="inlineStr">
        <is>
          <t>Август*</t>
        </is>
      </c>
    </row>
    <row r="3">
      <c r="A3" t="inlineStr">
        <is>
          <t>Выручка (касса, YClients)</t>
        </is>
      </c>
      <c r="B3" s="10" t="n">
        <v>1435736</v>
      </c>
      <c r="C3" s="10" t="n">
        <v>1581992</v>
      </c>
      <c r="D3" s="10" t="n">
        <v>1948045</v>
      </c>
      <c r="E3" s="10" t="n">
        <v>1909183</v>
      </c>
      <c r="F3" s="10" t="n">
        <v>2829133</v>
      </c>
      <c r="G3" s="10" t="n">
        <v>2341497</v>
      </c>
      <c r="H3" s="10" t="n">
        <v>2259505</v>
      </c>
      <c r="I3" s="10" t="n">
        <v>1130740</v>
      </c>
    </row>
    <row r="4">
      <c r="A4" t="inlineStr">
        <is>
          <t>Визиты</t>
        </is>
      </c>
      <c r="B4" s="10" t="n">
        <v>219</v>
      </c>
      <c r="C4" s="10" t="n">
        <v>255</v>
      </c>
      <c r="D4" s="10" t="n">
        <v>330</v>
      </c>
      <c r="E4" s="10" t="n">
        <v>304</v>
      </c>
      <c r="F4" s="10" t="n">
        <v>358</v>
      </c>
      <c r="G4" s="10" t="n">
        <v>372</v>
      </c>
      <c r="H4" s="10" t="n">
        <v>273</v>
      </c>
      <c r="I4" s="10" t="n">
        <v>181</v>
      </c>
    </row>
    <row r="5">
      <c r="A5" t="inlineStr">
        <is>
          <t>Средний чек, ₽</t>
        </is>
      </c>
      <c r="B5" s="5" t="n">
        <v>6556</v>
      </c>
      <c r="C5" s="5" t="n">
        <v>6204</v>
      </c>
      <c r="D5" s="5" t="n">
        <v>5903</v>
      </c>
      <c r="E5" s="5" t="n">
        <v>6280</v>
      </c>
      <c r="F5" s="5" t="n">
        <v>7903</v>
      </c>
      <c r="G5" s="5" t="n">
        <v>6294</v>
      </c>
      <c r="H5" s="5" t="n">
        <v>8277</v>
      </c>
      <c r="I5" s="5" t="n">
        <v>6247</v>
      </c>
    </row>
    <row r="6">
      <c r="A6" t="inlineStr">
        <is>
          <t>Новые клиенты</t>
        </is>
      </c>
      <c r="B6" s="10" t="n">
        <v>27</v>
      </c>
      <c r="C6" s="10" t="n">
        <v>50</v>
      </c>
      <c r="D6" s="10" t="n">
        <v>55</v>
      </c>
      <c r="E6" s="10" t="n">
        <v>54</v>
      </c>
      <c r="F6" s="10" t="n">
        <v>46</v>
      </c>
      <c r="G6" s="10" t="n">
        <v>55</v>
      </c>
      <c r="H6" s="10" t="n">
        <v>44</v>
      </c>
      <c r="I6" s="10" t="n">
        <v>27</v>
      </c>
    </row>
    <row r="7">
      <c r="A7" t="inlineStr">
        <is>
          <t>Повторные клиенты</t>
        </is>
      </c>
      <c r="B7" s="10" t="n">
        <v>127</v>
      </c>
      <c r="C7" s="10" t="n">
        <v>124</v>
      </c>
      <c r="D7" s="10" t="n">
        <v>165</v>
      </c>
      <c r="E7" s="10" t="n">
        <v>154</v>
      </c>
      <c r="F7" s="10" t="n">
        <v>181</v>
      </c>
      <c r="G7" s="10" t="n">
        <v>161</v>
      </c>
      <c r="H7" s="10" t="n">
        <v>136</v>
      </c>
      <c r="I7" s="10" t="n">
        <v>112</v>
      </c>
    </row>
    <row r="8">
      <c r="A8" t="inlineStr">
        <is>
          <t>Скидки, ₽</t>
        </is>
      </c>
      <c r="B8" s="5" t="n">
        <v>136195</v>
      </c>
      <c r="C8" s="5" t="n">
        <v>175920</v>
      </c>
      <c r="D8" s="5" t="n">
        <v>301753</v>
      </c>
      <c r="E8" s="5" t="n">
        <v>201196</v>
      </c>
      <c r="F8" s="5" t="n">
        <v>345195</v>
      </c>
      <c r="G8" s="5" t="n">
        <v>365857</v>
      </c>
      <c r="H8" s="5" t="n">
        <v>170476</v>
      </c>
      <c r="I8" s="5" t="n">
        <v>78017</v>
      </c>
    </row>
    <row r="9">
      <c r="A9" t="inlineStr">
        <is>
          <t>Скидки, % от услуг</t>
        </is>
      </c>
      <c r="B9" s="11">
        <f>B8/B3</f>
        <v/>
      </c>
      <c r="C9" s="11">
        <f>C8/C3</f>
        <v/>
      </c>
      <c r="D9" s="11">
        <f>D8/D3</f>
        <v/>
      </c>
      <c r="E9" s="11">
        <f>E8/E3</f>
        <v/>
      </c>
      <c r="F9" s="11">
        <f>F8/F3</f>
        <v/>
      </c>
      <c r="G9" s="11">
        <f>G8/G3</f>
        <v/>
      </c>
      <c r="H9" s="11">
        <f>H8/H3</f>
        <v/>
      </c>
      <c r="I9" s="11">
        <f>I8/I3</f>
        <v/>
      </c>
    </row>
    <row r="10">
      <c r="A10" t="inlineStr">
        <is>
          <t>Потерянные клиенты (&gt;90 дней)</t>
        </is>
      </c>
      <c r="B10" s="10" t="n">
        <v>484</v>
      </c>
      <c r="C10" s="10" t="n">
        <v>518</v>
      </c>
      <c r="D10" s="10" t="n">
        <v>539</v>
      </c>
      <c r="E10" s="10" t="n">
        <v>537</v>
      </c>
      <c r="F10" s="10" t="n">
        <v>565</v>
      </c>
      <c r="G10" s="10" t="n">
        <v>618</v>
      </c>
      <c r="H10" s="10" t="n">
        <v>683</v>
      </c>
      <c r="I10" s="10" t="n">
        <v>729</v>
      </c>
    </row>
    <row r="12">
      <c r="A12" s="9" t="inlineStr">
        <is>
          <t>Август — партиал месяц (данные по 21.08).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Прогноз выручки сен-дек 2026 — driver-based, меняй допущения на первом листе</t>
        </is>
      </c>
    </row>
    <row r="3">
      <c r="A3" s="2" t="inlineStr">
        <is>
          <t>Сценарий</t>
        </is>
      </c>
      <c r="B3" s="2" t="inlineStr">
        <is>
          <t>Сентябрь</t>
        </is>
      </c>
      <c r="C3" s="2" t="inlineStr">
        <is>
          <t>Октябрь</t>
        </is>
      </c>
      <c r="D3" s="2" t="inlineStr">
        <is>
          <t>Ноябрь</t>
        </is>
      </c>
      <c r="E3" s="2" t="inlineStr">
        <is>
          <t>Декабрь</t>
        </is>
      </c>
      <c r="F3" t="inlineStr">
        <is>
          <t>Итого 4 мес</t>
        </is>
      </c>
    </row>
    <row r="4">
      <c r="A4" t="inlineStr">
        <is>
          <t>Пессимистичный</t>
        </is>
      </c>
      <c r="B4" s="5">
        <f>Допущения!$B$4*(1+Допущения!$B$7)</f>
        <v/>
      </c>
      <c r="C4" s="5">
        <f>Допущения!$B$4*(1+Допущения!$B$7)</f>
        <v/>
      </c>
      <c r="D4" s="5">
        <f>Допущения!$B$4*(1+Допущения!$B$7)</f>
        <v/>
      </c>
      <c r="E4" s="5">
        <f>Допущения!$B$4*(1+Допущения!$B$7)</f>
        <v/>
      </c>
      <c r="F4" s="8">
        <f>SUM(B4:E4)</f>
        <v/>
      </c>
    </row>
    <row r="5">
      <c r="A5" s="7" t="inlineStr">
        <is>
          <t>Базовый</t>
        </is>
      </c>
      <c r="B5" s="8">
        <f>Допущения!$B$4*(1+Допущения!$B$5)</f>
        <v/>
      </c>
      <c r="C5" s="8">
        <f>Допущения!$B$4*(1+Допущения!$B$5)</f>
        <v/>
      </c>
      <c r="D5" s="8">
        <f>Допущения!$B$4*(1+Допущения!$B$5)</f>
        <v/>
      </c>
      <c r="E5" s="8">
        <f>Допущения!$B$4*(1+Допущения!$B$5)</f>
        <v/>
      </c>
      <c r="F5" s="8">
        <f>SUM(B5:E5)</f>
        <v/>
      </c>
    </row>
    <row r="6">
      <c r="A6" t="inlineStr">
        <is>
          <t>Оптимистичный</t>
        </is>
      </c>
      <c r="B6" s="5">
        <f>Допущения!$B$4*(1+Допущения!$B$6)</f>
        <v/>
      </c>
      <c r="C6" s="5">
        <f>Допущения!$B$4*(1+Допущения!$B$6)</f>
        <v/>
      </c>
      <c r="D6" s="5">
        <f>Допущения!$B$4*(1+Допущения!$B$6)</f>
        <v/>
      </c>
      <c r="E6" s="5">
        <f>Допущения!$B$4*(1+Допущения!$B$6)</f>
        <v/>
      </c>
      <c r="F6" s="8">
        <f>SUM(B6:E6)</f>
        <v/>
      </c>
    </row>
    <row r="9">
      <c r="A9" s="9" t="inlineStr">
        <is>
          <t>Логика: одна и та же база (среднее июнь-июль) применяется ко всем 4 месяцам, без сезонности внутри периода — если знаешь сезонные пики/спады (отпуска, праздники), скажи, добавлю коэффициенты по месяцам.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Прогноз расходов и чистой прибыли сен-дек 2026 (Базовый сценарий)</t>
        </is>
      </c>
    </row>
    <row r="3">
      <c r="A3" s="2" t="inlineStr">
        <is>
          <t>Статья</t>
        </is>
      </c>
      <c r="B3" s="2" t="inlineStr">
        <is>
          <t>Сентябрь</t>
        </is>
      </c>
      <c r="C3" s="2" t="inlineStr">
        <is>
          <t>Октябрь</t>
        </is>
      </c>
      <c r="D3" s="2" t="inlineStr">
        <is>
          <t>Ноябрь</t>
        </is>
      </c>
      <c r="E3" s="2" t="inlineStr">
        <is>
          <t>Декабрь</t>
        </is>
      </c>
      <c r="F3" t="inlineStr">
        <is>
          <t>Итого 4 мес</t>
        </is>
      </c>
    </row>
    <row r="4">
      <c r="A4" s="7" t="inlineStr">
        <is>
          <t>Выручка (базовый сценарий)</t>
        </is>
      </c>
      <c r="B4" s="8">
        <f>'Прогноз выручки'!B5</f>
        <v/>
      </c>
      <c r="C4" s="8">
        <f>'Прогноз выручки'!C5</f>
        <v/>
      </c>
      <c r="D4" s="8">
        <f>'Прогноз выручки'!D5</f>
        <v/>
      </c>
      <c r="E4" s="8">
        <f>'Прогноз выручки'!E5</f>
        <v/>
      </c>
      <c r="F4" s="8">
        <f>SUM(B4:E4)</f>
        <v/>
      </c>
    </row>
    <row r="5">
      <c r="A5" t="inlineStr">
        <is>
          <t>Переменные расходы</t>
        </is>
      </c>
      <c r="B5" s="5">
        <f>-B4*Допущения!$B$8</f>
        <v/>
      </c>
      <c r="C5" s="5">
        <f>-C4*Допущения!$B$8</f>
        <v/>
      </c>
      <c r="D5" s="5">
        <f>-D4*Допущения!$B$8</f>
        <v/>
      </c>
      <c r="E5" s="5">
        <f>-E4*Допущения!$B$8</f>
        <v/>
      </c>
      <c r="F5" s="5">
        <f>SUM(B5:E5)</f>
        <v/>
      </c>
    </row>
    <row r="6">
      <c r="A6" t="inlineStr">
        <is>
          <t>Постоянные расходы</t>
        </is>
      </c>
      <c r="B6" s="5">
        <f>-Допущения!$B$9</f>
        <v/>
      </c>
      <c r="C6" s="5">
        <f>-Допущения!$B$9</f>
        <v/>
      </c>
      <c r="D6" s="5">
        <f>-Допущения!$B$9</f>
        <v/>
      </c>
      <c r="E6" s="5">
        <f>-Допущения!$B$9</f>
        <v/>
      </c>
      <c r="F6" s="5">
        <f>SUM(B6:E6)</f>
        <v/>
      </c>
    </row>
    <row r="7">
      <c r="A7" t="inlineStr">
        <is>
          <t>Закупка косметики (сглажено)</t>
        </is>
      </c>
      <c r="B7" s="5">
        <f>-Допущения!$B$10</f>
        <v/>
      </c>
      <c r="C7" s="5">
        <f>-Допущения!$B$10</f>
        <v/>
      </c>
      <c r="D7" s="5">
        <f>-Допущения!$B$10</f>
        <v/>
      </c>
      <c r="E7" s="5">
        <f>-Допущения!$B$10</f>
        <v/>
      </c>
      <c r="F7" s="5">
        <f>SUM(B7:E7)</f>
        <v/>
      </c>
    </row>
    <row r="8">
      <c r="A8" s="7" t="inlineStr">
        <is>
          <t>Чистая прибыль (прогноз)</t>
        </is>
      </c>
      <c r="B8" s="8">
        <f>SUM(B4:B7)</f>
        <v/>
      </c>
      <c r="C8" s="8">
        <f>SUM(C4:C7)</f>
        <v/>
      </c>
      <c r="D8" s="8">
        <f>SUM(D4:D7)</f>
        <v/>
      </c>
      <c r="E8" s="8">
        <f>SUM(E4:E7)</f>
        <v/>
      </c>
      <c r="F8" s="8">
        <f>SUM(B8:E8)</f>
        <v/>
      </c>
    </row>
    <row r="10">
      <c r="A10" t="inlineStr">
        <is>
          <t>Рентабельность по чистой прибыли, %</t>
        </is>
      </c>
      <c r="B10" s="11">
        <f>B8/B4</f>
        <v/>
      </c>
      <c r="C10" s="11">
        <f>C8/C4</f>
        <v/>
      </c>
      <c r="D10" s="11">
        <f>D8/D4</f>
        <v/>
      </c>
      <c r="E10" s="11">
        <f>E8/E4</f>
        <v/>
      </c>
      <c r="F10" s="11">
        <f>F8/F4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Закупка косметики на продажу — открытый методологический вопрос</t>
        </is>
      </c>
    </row>
    <row r="3" ht="60" customHeight="1">
      <c r="A3" s="7" t="inlineStr">
        <is>
          <t>Проблема</t>
        </is>
      </c>
      <c r="B3" s="12" t="inlineStr">
        <is>
          <t>Сейчас в П&amp;Л закупка списывается целиком в месяц оплаты поставщику, но это запас на несколько месяцев продаж вперёд — из-за этого П&amp;Л скачет (март/июнь/июль искажены разовыми крупными закупками).</t>
        </is>
      </c>
    </row>
    <row r="5" ht="60" customHeight="1">
      <c r="A5" s="7" t="inlineStr">
        <is>
          <t>Что я сделала для модели</t>
        </is>
      </c>
      <c r="B5" s="12" t="inlineStr">
        <is>
          <t>Взяла ИТОГО закупок янв-авг (1 075 507 ₽) / 8 месяцев = 134 438 ₽/мес как сглаженную оценку — это ВРЕМЕННОЕ решение для прогноза, не бухгалтерская правильная амортизация.</t>
        </is>
      </c>
    </row>
    <row r="7" ht="60" customHeight="1">
      <c r="A7" s="7" t="inlineStr">
        <is>
          <t>Как сделать правильно</t>
        </is>
      </c>
      <c r="B7" s="12" t="inlineStr">
        <is>
          <t>Нужно знать остатки товара на складе на конец каждого месяца (у меня есть текущий снимок остатков в дашборде ЭЛАМИ, но не исторический по месяцам) — тогда можно считать реальный расход = закупки + начальный остаток − конечный остаток, а не по факту оплаты поставщику.</t>
        </is>
      </c>
    </row>
    <row r="9" ht="60" customHeight="1">
      <c r="A9" s="7" t="inlineStr">
        <is>
          <t>Что нужно от тебя</t>
        </is>
      </c>
      <c r="B9" s="12" t="inlineStr">
        <is>
          <t>Скажи: (а) устраивает ли сглаживание по среднему как временное решение, (б) можно ли начать фиксировать остатки на конец каждого месяца, чтобы перейти на правильный метод.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2026-08-21T15:13:36Z</dcterms:created>
  <dcterms:modified xmlns:dcterms="http://purl.org/dc/terms/" xmlns:xsi="http://www.w3.org/2001/XMLSchema-instance" xsi:type="dcterms:W3CDTF">2026-08-21T15:13:36Z</dcterms:modified>
</cp:coreProperties>
</file>