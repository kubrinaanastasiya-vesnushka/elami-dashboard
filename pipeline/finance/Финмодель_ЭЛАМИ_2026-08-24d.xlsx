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ПРОГНОЗ" sheetId="5" state="visible" r:id="rId5"/>
    <sheet xmlns:r="http://schemas.openxmlformats.org/officeDocument/2006/relationships" name="Косметика — методология" sheetId="6" state="visible" r:id="rId6"/>
    <sheet xmlns:r="http://schemas.openxmlformats.org/officeDocument/2006/relationships" name="Загрузка мастеро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₽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88888"/>
      <sz val="9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3" fillId="2" borderId="0" pivotButton="0" quotePrefix="0" xfId="0"/>
    <xf numFmtId="164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Целевая выручка клиники</t>
        </is>
      </c>
      <c r="B4" s="3" t="n">
        <v>2300000</v>
      </c>
      <c r="C4" t="inlineStr">
        <is>
          <t>₽/мес</t>
        </is>
      </c>
      <c r="D4" t="inlineStr">
        <is>
          <t>Настина цель: держать примерно на этом уровне, но за счёт другого состава — меньше Эльвиры, больше остальных</t>
        </is>
      </c>
    </row>
    <row r="5">
      <c r="A5" t="inlineStr">
        <is>
          <t>База выручки — Остальные мастера (среднее июнь-июль)</t>
        </is>
      </c>
      <c r="B5" s="3" t="n">
        <v>960140</v>
      </c>
      <c r="C5" t="inlineStr">
        <is>
          <t>₽/мес</t>
        </is>
      </c>
      <c r="D5" t="inlineStr">
        <is>
          <t>От этой базы считается рост</t>
        </is>
      </c>
    </row>
    <row r="6">
      <c r="A6" t="inlineStr">
        <is>
          <t>Рост — Остальные, Сценарий А (медленный)</t>
        </is>
      </c>
      <c r="B6" s="4" t="n">
        <v>0.1</v>
      </c>
      <c r="C6" t="inlineStr">
        <is>
          <t>%/мес</t>
        </is>
      </c>
      <c r="D6" t="inlineStr">
        <is>
          <t>Настин ориентир: 10-20% в месяц — нижняя граница</t>
        </is>
      </c>
    </row>
    <row r="7">
      <c r="A7" t="inlineStr">
        <is>
          <t>Рост — Остальные, Сценарий Б (быстрый)</t>
        </is>
      </c>
      <c r="B7" s="4" t="n">
        <v>0.2</v>
      </c>
      <c r="C7" t="inlineStr">
        <is>
          <t>%/мес</t>
        </is>
      </c>
      <c r="D7" t="inlineStr">
        <is>
          <t>Настин ориентир: 10-20% в месяц — верхняя граница</t>
        </is>
      </c>
    </row>
    <row r="8">
      <c r="A8" t="inlineStr">
        <is>
          <t>Переменные расходы, % от выручки</t>
        </is>
      </c>
      <c r="B8" s="4" t="n">
        <v>0.493</v>
      </c>
      <c r="C8" t="inlineStr">
        <is>
          <t>%</t>
        </is>
      </c>
      <c r="D8" t="inlineStr">
        <is>
          <t>Среднее «Прямые расходы» / Выручка за июнь-июль из твоего П&amp;Л (материалы + ЗП мастеров)</t>
        </is>
      </c>
    </row>
    <row r="9">
      <c r="A9" t="inlineStr">
        <is>
          <t>Постоянные расходы</t>
        </is>
      </c>
      <c r="B9" s="3" t="n">
        <v>724000</v>
      </c>
      <c r="C9" t="inlineStr">
        <is>
          <t>₽/мес</t>
        </is>
      </c>
      <c r="D9" t="inlineStr">
        <is>
          <t>«Косвенные расходы» июнь-июль БЕЗ закупки косметики (аренда, ФОТ офиса, IT, банк/налоги)</t>
        </is>
      </c>
    </row>
    <row r="10">
      <c r="A10" t="inlineStr">
        <is>
          <t>Закупка косметики на продажу (сглажено)</t>
        </is>
      </c>
      <c r="B10" s="3" t="n">
        <v>134438</v>
      </c>
      <c r="C10" t="inlineStr">
        <is>
          <t>₽/мес</t>
        </is>
      </c>
      <c r="D10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Выручка по мастерам факт 2026 — из YClients-пайплайна, сумма = общая выручка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Эльвира Аминева</t>
        </is>
      </c>
      <c r="B3" s="5" t="n">
        <v>834346</v>
      </c>
      <c r="C3" s="5" t="n">
        <v>990234</v>
      </c>
      <c r="D3" s="5" t="n">
        <v>945727</v>
      </c>
      <c r="E3" s="5" t="n">
        <v>991701</v>
      </c>
      <c r="F3" s="5" t="n">
        <v>1654863</v>
      </c>
      <c r="G3" s="5" t="n">
        <v>1374673</v>
      </c>
      <c r="H3" s="5" t="n">
        <v>1306050</v>
      </c>
      <c r="I3" s="5" t="n">
        <v>712840</v>
      </c>
    </row>
    <row r="4">
      <c r="A4" t="inlineStr">
        <is>
          <t>Остальные мастера (Татьяна, Анна, Александра, Влада и т.д.)</t>
        </is>
      </c>
      <c r="B4" s="5" t="n">
        <v>601390</v>
      </c>
      <c r="C4" s="5" t="n">
        <v>591758</v>
      </c>
      <c r="D4" s="5" t="n">
        <v>1002318</v>
      </c>
      <c r="E4" s="5" t="n">
        <v>917482</v>
      </c>
      <c r="F4" s="5" t="n">
        <v>1174270</v>
      </c>
      <c r="G4" s="5" t="n">
        <v>966824</v>
      </c>
      <c r="H4" s="5" t="n">
        <v>953455</v>
      </c>
      <c r="I4" s="5" t="n">
        <v>490195</v>
      </c>
    </row>
    <row r="5">
      <c r="A5" s="6" t="inlineStr">
        <is>
          <t>Итого (= общая выручка)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</row>
    <row r="6">
      <c r="A6" s="6" t="inlineStr">
        <is>
          <t>Доля Эльвиры, %</t>
        </is>
      </c>
      <c r="B6" s="8">
        <f>B3/B5</f>
        <v/>
      </c>
      <c r="C6" s="8">
        <f>C3/C5</f>
        <v/>
      </c>
      <c r="D6" s="8">
        <f>D3/D5</f>
        <v/>
      </c>
      <c r="E6" s="8">
        <f>E3/E5</f>
        <v/>
      </c>
      <c r="F6" s="8">
        <f>F3/F5</f>
        <v/>
      </c>
      <c r="G6" s="8">
        <f>G3/G5</f>
        <v/>
      </c>
      <c r="H6" s="8">
        <f>H3/H5</f>
        <v/>
      </c>
      <c r="I6" s="8">
        <f>I3/I5</f>
        <v/>
      </c>
    </row>
    <row r="8">
      <c r="A8" s="9" t="inlineStr">
        <is>
          <t>* Август — не закрытый месяц (данные по 24.08).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10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10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6" t="inlineStr">
        <is>
          <t>Валовая прибыль</t>
        </is>
      </c>
      <c r="B7" s="7" t="n">
        <v>184806</v>
      </c>
      <c r="C7" s="7" t="n">
        <v>286748</v>
      </c>
      <c r="D7" s="7" t="n">
        <v>829095</v>
      </c>
      <c r="E7" s="7" t="n">
        <v>711241</v>
      </c>
      <c r="F7" s="7" t="n">
        <v>1100507</v>
      </c>
      <c r="G7" s="7" t="n">
        <v>1320732</v>
      </c>
      <c r="H7" s="7" t="n">
        <v>1115320</v>
      </c>
      <c r="I7" s="7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10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6" t="inlineStr">
        <is>
          <t>Операционная прибыль</t>
        </is>
      </c>
      <c r="B10" s="7" t="n">
        <v>-97935</v>
      </c>
      <c r="C10" s="7" t="n">
        <v>-157923</v>
      </c>
      <c r="D10" s="7" t="n">
        <v>-113446</v>
      </c>
      <c r="E10" s="7" t="n">
        <v>90044</v>
      </c>
      <c r="F10" s="7" t="n">
        <v>408989</v>
      </c>
      <c r="G10" s="7" t="n">
        <v>62021</v>
      </c>
      <c r="H10" s="7" t="n">
        <v>232184</v>
      </c>
      <c r="I10" s="7" t="n">
        <v>474527</v>
      </c>
    </row>
    <row r="11">
      <c r="A11" s="6" t="inlineStr">
        <is>
          <t>Чистая прибыль</t>
        </is>
      </c>
      <c r="B11" s="7" t="n">
        <v>-104220</v>
      </c>
      <c r="C11" s="7" t="n">
        <v>-158413</v>
      </c>
      <c r="D11" s="7" t="n">
        <v>-117900</v>
      </c>
      <c r="E11" s="7" t="n">
        <v>100219</v>
      </c>
      <c r="F11" s="7" t="n">
        <v>408989</v>
      </c>
      <c r="G11" s="7" t="n">
        <v>-3026</v>
      </c>
      <c r="H11" s="7" t="n">
        <v>229184</v>
      </c>
      <c r="I11" s="7" t="n">
        <v>444092</v>
      </c>
    </row>
    <row r="12">
      <c r="A12" s="9" t="inlineStr">
        <is>
          <t>* Август — не закрытый месяц,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 (касса, YClients)</t>
        </is>
      </c>
      <c r="B3" s="11" t="n">
        <v>1435736</v>
      </c>
      <c r="C3" s="11" t="n">
        <v>1581992</v>
      </c>
      <c r="D3" s="11" t="n">
        <v>1948045</v>
      </c>
      <c r="E3" s="11" t="n">
        <v>1909183</v>
      </c>
      <c r="F3" s="11" t="n">
        <v>2829133</v>
      </c>
      <c r="G3" s="11" t="n">
        <v>2341497</v>
      </c>
      <c r="H3" s="11" t="n">
        <v>2259505</v>
      </c>
      <c r="I3" s="11" t="n">
        <v>1203035</v>
      </c>
    </row>
    <row r="4">
      <c r="A4" t="inlineStr">
        <is>
          <t>Визиты</t>
        </is>
      </c>
      <c r="B4" s="11" t="n">
        <v>219</v>
      </c>
      <c r="C4" s="11" t="n">
        <v>255</v>
      </c>
      <c r="D4" s="11" t="n">
        <v>330</v>
      </c>
      <c r="E4" s="11" t="n">
        <v>304</v>
      </c>
      <c r="F4" s="11" t="n">
        <v>358</v>
      </c>
      <c r="G4" s="11" t="n">
        <v>372</v>
      </c>
      <c r="H4" s="11" t="n">
        <v>273</v>
      </c>
      <c r="I4" s="11" t="n">
        <v>181</v>
      </c>
    </row>
    <row r="5">
      <c r="A5" t="inlineStr">
        <is>
          <t>Средний чек, ₽</t>
        </is>
      </c>
      <c r="B5" s="5" t="n">
        <v>6556</v>
      </c>
      <c r="C5" s="5" t="n">
        <v>6204</v>
      </c>
      <c r="D5" s="5" t="n">
        <v>5903</v>
      </c>
      <c r="E5" s="5" t="n">
        <v>6280</v>
      </c>
      <c r="F5" s="5" t="n">
        <v>7903</v>
      </c>
      <c r="G5" s="5" t="n">
        <v>6294</v>
      </c>
      <c r="H5" s="5" t="n">
        <v>8277</v>
      </c>
      <c r="I5" s="5" t="n">
        <v>6647</v>
      </c>
    </row>
    <row r="6">
      <c r="A6" t="inlineStr">
        <is>
          <t>Новые клиенты</t>
        </is>
      </c>
      <c r="B6" s="11" t="n">
        <v>27</v>
      </c>
      <c r="C6" s="11" t="n">
        <v>50</v>
      </c>
      <c r="D6" s="11" t="n">
        <v>55</v>
      </c>
      <c r="E6" s="11" t="n">
        <v>54</v>
      </c>
      <c r="F6" s="11" t="n">
        <v>46</v>
      </c>
      <c r="G6" s="11" t="n">
        <v>55</v>
      </c>
      <c r="H6" s="11" t="n">
        <v>44</v>
      </c>
      <c r="I6" s="11" t="n">
        <v>29</v>
      </c>
    </row>
    <row r="7">
      <c r="A7" t="inlineStr">
        <is>
          <t>Повторные клиенты</t>
        </is>
      </c>
      <c r="B7" s="11" t="n">
        <v>127</v>
      </c>
      <c r="C7" s="11" t="n">
        <v>124</v>
      </c>
      <c r="D7" s="11" t="n">
        <v>165</v>
      </c>
      <c r="E7" s="11" t="n">
        <v>154</v>
      </c>
      <c r="F7" s="11" t="n">
        <v>181</v>
      </c>
      <c r="G7" s="11" t="n">
        <v>161</v>
      </c>
      <c r="H7" s="11" t="n">
        <v>136</v>
      </c>
      <c r="I7" s="11" t="n">
        <v>107</v>
      </c>
    </row>
    <row r="8">
      <c r="A8" t="inlineStr">
        <is>
          <t>Скидки, ₽</t>
        </is>
      </c>
      <c r="B8" s="5" t="n">
        <v>136195</v>
      </c>
      <c r="C8" s="5" t="n">
        <v>175920</v>
      </c>
      <c r="D8" s="5" t="n">
        <v>301753</v>
      </c>
      <c r="E8" s="5" t="n">
        <v>201196</v>
      </c>
      <c r="F8" s="5" t="n">
        <v>345195</v>
      </c>
      <c r="G8" s="5" t="n">
        <v>365857</v>
      </c>
      <c r="H8" s="5" t="n">
        <v>170476</v>
      </c>
      <c r="I8" s="5" t="n">
        <v>81317</v>
      </c>
    </row>
    <row r="9">
      <c r="A9" t="inlineStr">
        <is>
          <t>Скидки, % от услуг</t>
        </is>
      </c>
      <c r="B9" s="8">
        <f>B8/B3</f>
        <v/>
      </c>
      <c r="C9" s="8">
        <f>C8/C3</f>
        <v/>
      </c>
      <c r="D9" s="8">
        <f>D8/D3</f>
        <v/>
      </c>
      <c r="E9" s="8">
        <f>E8/E3</f>
        <v/>
      </c>
      <c r="F9" s="8">
        <f>F8/F3</f>
        <v/>
      </c>
      <c r="G9" s="8">
        <f>G8/G3</f>
        <v/>
      </c>
      <c r="H9" s="8">
        <f>H8/H3</f>
        <v/>
      </c>
      <c r="I9" s="8">
        <f>I8/I3</f>
        <v/>
      </c>
    </row>
    <row r="10">
      <c r="A10" t="inlineStr">
        <is>
          <t>Потерянные клиенты (&gt;90 дней)</t>
        </is>
      </c>
      <c r="B10" s="11" t="n">
        <v>484</v>
      </c>
      <c r="C10" s="11" t="n">
        <v>518</v>
      </c>
      <c r="D10" s="11" t="n">
        <v>539</v>
      </c>
      <c r="E10" s="11" t="n">
        <v>537</v>
      </c>
      <c r="F10" s="11" t="n">
        <v>565</v>
      </c>
      <c r="G10" s="11" t="n">
        <v>618</v>
      </c>
      <c r="H10" s="11" t="n">
        <v>683</v>
      </c>
      <c r="I10" s="11" t="n">
        <v>740</v>
      </c>
    </row>
    <row r="12">
      <c r="A12" s="9" t="inlineStr">
        <is>
          <t>Август — партиал месяц.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0" customWidth="1" min="3" max="3"/>
    <col width="4" customWidth="1" min="4" max="4"/>
    <col width="55" customWidth="1" min="5" max="5"/>
    <col width="16" customWidth="1" min="6" max="6"/>
    <col width="10" customWidth="1" min="7" max="7"/>
  </cols>
  <sheetData>
    <row r="1">
      <c r="B1" s="2" t="inlineStr">
        <is>
          <t>ТЕКУЩАЯ СИТУАЦИЯ (среднее июнь-июль — чистые месяцы)</t>
        </is>
      </c>
      <c r="F1" s="2" t="inlineStr">
        <is>
          <t>ТОЧКА Б (цель — декабрь 2026, план роста 10%/мес)</t>
        </is>
      </c>
    </row>
    <row r="2">
      <c r="A2" t="inlineStr">
        <is>
          <t>ВЫРУЧКА</t>
        </is>
      </c>
      <c r="B2" s="5" t="n">
        <v>2403436</v>
      </c>
      <c r="E2" t="inlineStr">
        <is>
          <t>ВЫРУЧКА</t>
        </is>
      </c>
      <c r="F2" s="21" t="n">
        <v>2300000</v>
      </c>
    </row>
    <row r="3">
      <c r="A3" t="inlineStr">
        <is>
          <t>кол-во клиентов в месяц</t>
        </is>
      </c>
      <c r="B3" t="n">
        <v>198</v>
      </c>
      <c r="E3" t="inlineStr">
        <is>
          <t>кол-во клиентов в месяц</t>
        </is>
      </c>
      <c r="F3" s="22" t="n">
        <v>198</v>
      </c>
    </row>
    <row r="5">
      <c r="B5" s="6" t="inlineStr">
        <is>
          <t>₽</t>
        </is>
      </c>
      <c r="C5" s="6" t="inlineStr">
        <is>
          <t>%</t>
        </is>
      </c>
      <c r="F5" s="6" t="inlineStr">
        <is>
          <t>₽</t>
        </is>
      </c>
      <c r="G5" s="6" t="inlineStr">
        <is>
          <t>%</t>
        </is>
      </c>
    </row>
    <row r="6">
      <c r="A6" s="6" t="inlineStr">
        <is>
          <t>Постоянные расходы ВСЕГО</t>
        </is>
      </c>
      <c r="B6">
        <f>SUM(B7:B13)</f>
        <v/>
      </c>
      <c r="C6">
        <f>B6/$B$2</f>
        <v/>
      </c>
      <c r="E6" s="6" t="inlineStr">
        <is>
          <t>Постоянные расходы ВСЕГО</t>
        </is>
      </c>
      <c r="F6">
        <f>SUM(F7:F13)</f>
        <v/>
      </c>
      <c r="G6">
        <f>F6/$F$2</f>
        <v/>
      </c>
    </row>
    <row r="7">
      <c r="A7" t="inlineStr">
        <is>
          <t>Аренда и содержание помещения</t>
        </is>
      </c>
      <c r="B7" s="5" t="n">
        <v>81980</v>
      </c>
      <c r="C7" s="8">
        <f>B7/$B$2</f>
        <v/>
      </c>
      <c r="E7" t="inlineStr">
        <is>
          <t>Аренда и содержание помещения</t>
        </is>
      </c>
      <c r="F7" s="21" t="n">
        <v>81980</v>
      </c>
      <c r="G7" s="8">
        <f>F7/$F$2</f>
        <v/>
      </c>
    </row>
    <row r="8">
      <c r="A8" t="inlineStr">
        <is>
          <t>Связь и интернет (IT-сервисы)</t>
        </is>
      </c>
      <c r="B8" s="5" t="n">
        <v>41410</v>
      </c>
      <c r="C8" s="8">
        <f>B8/$B$2</f>
        <v/>
      </c>
      <c r="E8" t="inlineStr">
        <is>
          <t>Связь и интернет (IT-сервисы)</t>
        </is>
      </c>
      <c r="F8" s="21" t="n">
        <v>41410</v>
      </c>
      <c r="G8" s="8">
        <f>F8/$F$2</f>
        <v/>
      </c>
    </row>
    <row r="9">
      <c r="A9" t="inlineStr">
        <is>
          <t>Хоз. и санитарные нужды</t>
        </is>
      </c>
      <c r="B9" s="5" t="n">
        <v>62567</v>
      </c>
      <c r="C9" s="8">
        <f>B9/$B$2</f>
        <v/>
      </c>
      <c r="E9" t="inlineStr">
        <is>
          <t>Хоз. и санитарные нужды</t>
        </is>
      </c>
      <c r="F9" s="21" t="n">
        <v>62567</v>
      </c>
      <c r="G9" s="8">
        <f>F9/$F$2</f>
        <v/>
      </c>
    </row>
    <row r="10">
      <c r="A10" t="inlineStr">
        <is>
          <t>Банковское обслуживание, юр., бухгалтерия</t>
        </is>
      </c>
      <c r="B10" s="5" t="n">
        <v>35164</v>
      </c>
      <c r="C10" s="8">
        <f>B10/$B$2</f>
        <v/>
      </c>
      <c r="E10" t="inlineStr">
        <is>
          <t>Банковское обслуживание, юр., бухгалтерия</t>
        </is>
      </c>
      <c r="F10" s="21" t="n">
        <v>35164</v>
      </c>
      <c r="G10" s="8">
        <f>F10/$F$2</f>
        <v/>
      </c>
    </row>
    <row r="11">
      <c r="A11" t="inlineStr">
        <is>
          <t>ФОТ офиса (СЕО, управляющий, администраторы, страховые, юр.)</t>
        </is>
      </c>
      <c r="B11" s="5" t="n">
        <v>216278</v>
      </c>
      <c r="C11" s="8">
        <f>B11/$B$2</f>
        <v/>
      </c>
      <c r="E11" t="inlineStr">
        <is>
          <t>ФОТ офиса (СЕО, управляющий, администраторы, страховые, юр.)</t>
        </is>
      </c>
      <c r="F11" s="21" t="n">
        <v>216278</v>
      </c>
      <c r="G11" s="8">
        <f>F11/$F$2</f>
        <v/>
      </c>
    </row>
    <row r="12">
      <c r="A12" t="inlineStr">
        <is>
          <t>Обучение и HR</t>
        </is>
      </c>
      <c r="B12" s="5" t="n">
        <v>54169</v>
      </c>
      <c r="C12" s="8">
        <f>B12/$B$2</f>
        <v/>
      </c>
      <c r="E12" t="inlineStr">
        <is>
          <t>Обучение и HR</t>
        </is>
      </c>
      <c r="F12" s="21" t="n">
        <v>54169</v>
      </c>
      <c r="G12" s="8">
        <f>F12/$F$2</f>
        <v/>
      </c>
    </row>
    <row r="13">
      <c r="A13" t="inlineStr">
        <is>
          <t>Прочие операционные расходы</t>
        </is>
      </c>
      <c r="B13" s="5" t="n">
        <v>12806</v>
      </c>
      <c r="C13" s="8">
        <f>B13/$B$2</f>
        <v/>
      </c>
      <c r="E13" t="inlineStr">
        <is>
          <t>Прочие операционные расходы</t>
        </is>
      </c>
      <c r="F13" s="21" t="n">
        <v>12806</v>
      </c>
      <c r="G13" s="8">
        <f>F13/$F$2</f>
        <v/>
      </c>
    </row>
    <row r="15">
      <c r="A15" s="6" t="inlineStr">
        <is>
          <t>Переменные расходы ВСЕГО</t>
        </is>
      </c>
      <c r="B15">
        <f>B16+B21+B24+B28</f>
        <v/>
      </c>
      <c r="C15">
        <f>B15/$B$2</f>
        <v/>
      </c>
      <c r="E15" s="6" t="inlineStr">
        <is>
          <t>Переменные расходы ВСЕГО</t>
        </is>
      </c>
      <c r="F15">
        <f>F16+F21+F24+F28</f>
        <v/>
      </c>
      <c r="G15">
        <f>F15/$F$2</f>
        <v/>
      </c>
    </row>
    <row r="16">
      <c r="A16" s="23" t="inlineStr">
        <is>
          <t>Переменные расходы на маркетинг</t>
        </is>
      </c>
      <c r="B16">
        <f>SUM(B17:B19)</f>
        <v/>
      </c>
      <c r="C16">
        <f>B16/$B$2</f>
        <v/>
      </c>
      <c r="E16" s="23" t="inlineStr">
        <is>
          <t>Переменные расходы на маркетинг</t>
        </is>
      </c>
      <c r="F16">
        <f>SUM(F17:F19)</f>
        <v/>
      </c>
      <c r="G16">
        <f>F16/$F$2</f>
        <v/>
      </c>
    </row>
    <row r="17">
      <c r="A17" t="inlineStr">
        <is>
          <t>ЗП маркетолога</t>
        </is>
      </c>
      <c r="B17" s="5" t="n">
        <v>81683</v>
      </c>
      <c r="C17" s="8">
        <f>B17/$B$2</f>
        <v/>
      </c>
      <c r="E17" t="inlineStr">
        <is>
          <t>ЗП маркетолога</t>
        </is>
      </c>
      <c r="F17" s="21" t="n">
        <v>78000</v>
      </c>
      <c r="G17" s="8">
        <f>F17/$F$2</f>
        <v/>
      </c>
    </row>
    <row r="18">
      <c r="A18" t="inlineStr">
        <is>
          <t>Площадки-агрегаторы (Яндекс, 2GIS, Zoon)</t>
        </is>
      </c>
      <c r="B18" s="5" t="n">
        <v>26034</v>
      </c>
      <c r="C18" s="8">
        <f>B18/$B$2</f>
        <v/>
      </c>
      <c r="E18" t="inlineStr">
        <is>
          <t>Площадки-агрегаторы (Яндекс, 2GIS, Zoon)</t>
        </is>
      </c>
      <c r="F18" s="21" t="n">
        <v>26034</v>
      </c>
      <c r="G18" s="8">
        <f>F18/$F$2</f>
        <v/>
      </c>
    </row>
    <row r="19">
      <c r="A19" t="inlineStr">
        <is>
          <t>Дизайн, полиграфия, контент</t>
        </is>
      </c>
      <c r="B19" s="5" t="n">
        <v>19946</v>
      </c>
      <c r="C19" s="8">
        <f>B19/$B$2</f>
        <v/>
      </c>
      <c r="E19" t="inlineStr">
        <is>
          <t>Дизайн, полиграфия, контент</t>
        </is>
      </c>
      <c r="F19" s="21" t="n">
        <v>19946</v>
      </c>
      <c r="G19" s="8">
        <f>F19/$F$2</f>
        <v/>
      </c>
    </row>
    <row r="21">
      <c r="A21" s="23" t="inlineStr">
        <is>
          <t>Переменные расходы на мастеров (комиссия от услуг)</t>
        </is>
      </c>
      <c r="B21">
        <f>B22</f>
        <v/>
      </c>
      <c r="C21">
        <f>B21/$B$2</f>
        <v/>
      </c>
      <c r="E21" s="23" t="inlineStr">
        <is>
          <t>Переменные расходы на мастеров (комиссия от услуг)</t>
        </is>
      </c>
      <c r="F21">
        <f>F22</f>
        <v/>
      </c>
      <c r="G21">
        <f>F21/$F$2</f>
        <v/>
      </c>
    </row>
    <row r="22">
      <c r="A22" t="inlineStr">
        <is>
          <t>ЗП мастеров (% от услуг — детали на листе «Мотивация мастеров»* см. историю)</t>
        </is>
      </c>
      <c r="B22" s="5" t="n">
        <v>618658</v>
      </c>
      <c r="C22" s="8">
        <f>B22/$B$2</f>
        <v/>
      </c>
      <c r="E22" t="inlineStr">
        <is>
          <t>ЗП мастеров при плане роста</t>
        </is>
      </c>
      <c r="F22" s="21" t="n">
        <v>592000</v>
      </c>
      <c r="G22" s="8">
        <f>F22/$F$2</f>
        <v/>
      </c>
    </row>
    <row r="24">
      <c r="A24" s="23" t="inlineStr">
        <is>
          <t>Переменные расходы на материалы</t>
        </is>
      </c>
      <c r="B24">
        <f>SUM(B25:B26)</f>
        <v/>
      </c>
      <c r="C24">
        <f>B24/$B$2</f>
        <v/>
      </c>
      <c r="E24" s="23" t="inlineStr">
        <is>
          <t>Переменные расходы на материалы</t>
        </is>
      </c>
      <c r="F24">
        <f>SUM(F25:F26)</f>
        <v/>
      </c>
      <c r="G24">
        <f>F24/$F$2</f>
        <v/>
      </c>
    </row>
    <row r="25">
      <c r="A25" t="inlineStr">
        <is>
          <t>Расходники и препараты (прямые)</t>
        </is>
      </c>
      <c r="B25" s="5" t="n">
        <v>566752</v>
      </c>
      <c r="C25" s="8">
        <f>B25/$B$2</f>
        <v/>
      </c>
      <c r="E25" t="inlineStr">
        <is>
          <t>Расходники и препараты (прямые)</t>
        </is>
      </c>
      <c r="F25" s="21" t="n">
        <v>542000</v>
      </c>
      <c r="G25" s="8">
        <f>F25/$F$2</f>
        <v/>
      </c>
    </row>
    <row r="26">
      <c r="A26" t="inlineStr">
        <is>
          <t>Закупка косметики на продажу (сглажено)</t>
        </is>
      </c>
      <c r="B26" s="5" t="n">
        <v>346599</v>
      </c>
      <c r="C26" s="8">
        <f>B26/$B$2</f>
        <v/>
      </c>
      <c r="E26" t="inlineStr">
        <is>
          <t>Закупка косметики на продажу (сглажено)</t>
        </is>
      </c>
      <c r="F26" s="21" t="n">
        <v>134438</v>
      </c>
      <c r="G26" s="8">
        <f>F26/$F$2</f>
        <v/>
      </c>
    </row>
    <row r="28">
      <c r="A28" s="23" t="inlineStr">
        <is>
          <t>Другие переменные</t>
        </is>
      </c>
      <c r="B28">
        <f>B29</f>
        <v/>
      </c>
      <c r="C28">
        <f>B28/$B$2</f>
        <v/>
      </c>
      <c r="E28" s="23" t="inlineStr">
        <is>
          <t>Другие переменные</t>
        </is>
      </c>
      <c r="F28">
        <f>F29</f>
        <v/>
      </c>
      <c r="G28">
        <f>F28/$F$2</f>
        <v/>
      </c>
    </row>
    <row r="29">
      <c r="A29" t="inlineStr">
        <is>
          <t>Налоги (на прибыль + на ФОТ)</t>
        </is>
      </c>
      <c r="B29" s="5" t="n">
        <v>92014</v>
      </c>
      <c r="C29" s="8">
        <f>B29/$B$2</f>
        <v/>
      </c>
      <c r="E29" t="inlineStr">
        <is>
          <t>Налоги (на прибыль + на ФОТ)</t>
        </is>
      </c>
      <c r="F29" s="21" t="n">
        <v>88000</v>
      </c>
      <c r="G29" s="8">
        <f>F29/$F$2</f>
        <v/>
      </c>
    </row>
    <row r="31">
      <c r="A31" s="6" t="inlineStr">
        <is>
          <t>ВЫРУЧКА</t>
        </is>
      </c>
      <c r="B31" s="5">
        <f>B2</f>
        <v/>
      </c>
      <c r="E31" s="6" t="inlineStr">
        <is>
          <t>ВЫРУЧКА</t>
        </is>
      </c>
      <c r="F31" s="5">
        <f>F2</f>
        <v/>
      </c>
    </row>
    <row r="32">
      <c r="A32" s="6" t="inlineStr">
        <is>
          <t>ЧИСТАЯ ПРИБЫЛЬ</t>
        </is>
      </c>
      <c r="B32" s="5">
        <f>B2-B6-B15</f>
        <v/>
      </c>
      <c r="E32" s="6" t="inlineStr">
        <is>
          <t>ЧИСТАЯ ПРИБЫЛЬ</t>
        </is>
      </c>
      <c r="F32" s="5">
        <f>F2-F6-F15</f>
        <v/>
      </c>
    </row>
    <row r="33">
      <c r="A33" t="inlineStr">
        <is>
          <t>СРЕДНИЙ ЧЕК</t>
        </is>
      </c>
      <c r="B33" s="5">
        <f>B2/B3</f>
        <v/>
      </c>
      <c r="E33" t="inlineStr">
        <is>
          <t>СРЕДНИЙ ЧЕК</t>
        </is>
      </c>
      <c r="F33" s="5">
        <f>F2/F3</f>
        <v/>
      </c>
    </row>
    <row r="34">
      <c r="A34" t="inlineStr">
        <is>
          <t>Средний расход на клиента</t>
        </is>
      </c>
      <c r="B34" s="5">
        <f>(B6+B15)/B3</f>
        <v/>
      </c>
      <c r="E34" t="inlineStr">
        <is>
          <t>Средний расход на клиента</t>
        </is>
      </c>
      <c r="F34" s="5">
        <f>(F6+F15)/F3</f>
        <v/>
      </c>
    </row>
    <row r="35">
      <c r="A35" t="inlineStr">
        <is>
          <t>Средний доход с 1 клиента</t>
        </is>
      </c>
      <c r="B35" s="5">
        <f>B33-B34</f>
        <v/>
      </c>
      <c r="E35" t="inlineStr">
        <is>
          <t>Средний доход с 1 клиента</t>
        </is>
      </c>
      <c r="F35" s="5">
        <f>F33-F34</f>
        <v/>
      </c>
    </row>
    <row r="36">
      <c r="A36" t="inlineStr">
        <is>
          <t>Расход дня / стоимость рабочего дня клиники</t>
        </is>
      </c>
      <c r="B36" s="5">
        <f>(B6+B15)/30</f>
        <v/>
      </c>
      <c r="E36" t="inlineStr">
        <is>
          <t>Расход дня / стоимость рабочего дня клиники</t>
        </is>
      </c>
      <c r="F36" s="5">
        <f>(F6+F15)/30</f>
        <v/>
      </c>
    </row>
    <row r="37">
      <c r="A37" t="inlineStr">
        <is>
          <t>Сколько клиентов нужно принять в месяц, чтобы работать в ноль</t>
        </is>
      </c>
      <c r="B37" s="11">
        <f>(B6+B15)/B33</f>
        <v/>
      </c>
      <c r="E37" t="inlineStr">
        <is>
          <t>Сколько клиентов нужно принять в месяц, чтобы работать в ноль</t>
        </is>
      </c>
      <c r="F37" s="11">
        <f>(F6+F15)/F33</f>
        <v/>
      </c>
    </row>
    <row r="39" ht="60" customHeight="1">
      <c r="A39" s="14" t="inlineStr">
        <is>
          <t>Структура и логика — как в твоём шаблоне «Основной инструмент (мотивация)», вкладка РАСЧЁТ (Текущая ситуация / Точка Б, постоянные+переменные по категориям, среднийчек/расход дня/точка безубыточности внизу). Цифры «Текущая ситуация» — из твоего П&amp;Л Adesk (среднее июнь-июль). Жёлтые ячейки в «Точка Б» — редактируемые: сейчас заполнены моей прикидкой (расходы примерно пропорционально ниже за счёт роста выручки эффективнее издержек), поправь под свои реальные цифры.</t>
        </is>
      </c>
    </row>
  </sheetData>
  <mergeCells count="3">
    <mergeCell ref="B1:C1"/>
    <mergeCell ref="F1:G1"/>
    <mergeCell ref="A39:G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6" t="inlineStr">
        <is>
          <t>Проблема</t>
        </is>
      </c>
      <c r="B3" s="15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6" t="inlineStr">
        <is>
          <t>Что я сделала для модели</t>
        </is>
      </c>
      <c r="B5" s="15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6" t="inlineStr">
        <is>
          <t>Как сделать правильно</t>
        </is>
      </c>
      <c r="B7" s="15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6" t="inlineStr">
        <is>
          <t>Что нужно от тебя</t>
        </is>
      </c>
      <c r="B9" s="15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Загрузка мастеров июнь-август 2026 — открыто по расписанию / записано / реально пришло</t>
        </is>
      </c>
    </row>
    <row r="3">
      <c r="A3" s="2" t="inlineStr">
        <is>
          <t>Мастер</t>
        </is>
      </c>
      <c r="B3" s="2" t="inlineStr">
        <is>
          <t>Месяц</t>
        </is>
      </c>
      <c r="C3" s="2" t="inlineStr">
        <is>
          <t>Открыто, ч</t>
        </is>
      </c>
      <c r="D3" s="2" t="inlineStr">
        <is>
          <t>Записано, ч</t>
        </is>
      </c>
      <c r="E3" s="2" t="inlineStr">
        <is>
          <t>% записано</t>
        </is>
      </c>
      <c r="F3" s="2" t="inlineStr">
        <is>
          <t>Пришло, ч</t>
        </is>
      </c>
      <c r="G3" s="2" t="inlineStr">
        <is>
          <t>% пришло</t>
        </is>
      </c>
    </row>
    <row r="4">
      <c r="A4" t="inlineStr">
        <is>
          <t>Александра</t>
        </is>
      </c>
      <c r="B4" t="inlineStr">
        <is>
          <t>Июнь</t>
        </is>
      </c>
      <c r="C4" s="17" t="n">
        <v>57.8</v>
      </c>
      <c r="D4" s="17" t="n">
        <v>44.3</v>
      </c>
      <c r="E4" s="8">
        <f>IF(C4=0,"—",D4/C4)</f>
        <v/>
      </c>
      <c r="F4" s="17" t="n">
        <v>40.3</v>
      </c>
      <c r="G4" s="8">
        <f>IF(C4=0,"—",F4/C4)</f>
        <v/>
      </c>
    </row>
    <row r="5">
      <c r="A5" t="inlineStr">
        <is>
          <t>Александра</t>
        </is>
      </c>
      <c r="B5" t="inlineStr">
        <is>
          <t>Июль</t>
        </is>
      </c>
      <c r="C5" s="17" t="n">
        <v>41</v>
      </c>
      <c r="D5" s="17" t="n">
        <v>34.2</v>
      </c>
      <c r="E5" s="8">
        <f>IF(C5=0,"—",D5/C5)</f>
        <v/>
      </c>
      <c r="F5" s="17" t="n">
        <v>31.9</v>
      </c>
      <c r="G5" s="8">
        <f>IF(C5=0,"—",F5/C5)</f>
        <v/>
      </c>
    </row>
    <row r="6">
      <c r="A6" t="inlineStr">
        <is>
          <t>Александра</t>
        </is>
      </c>
      <c r="B6" t="inlineStr">
        <is>
          <t>Август*</t>
        </is>
      </c>
      <c r="C6" s="17" t="n">
        <v>36.5</v>
      </c>
      <c r="D6" s="17" t="n">
        <v>34</v>
      </c>
      <c r="E6" s="8">
        <f>IF(C6=0,"—",D6/C6)</f>
        <v/>
      </c>
      <c r="F6" s="17" t="n">
        <v>18.8</v>
      </c>
      <c r="G6" s="8">
        <f>IF(C6=0,"—",F6/C6)</f>
        <v/>
      </c>
    </row>
    <row r="7">
      <c r="A7" s="18" t="inlineStr">
        <is>
          <t>Эльвира Аминева</t>
        </is>
      </c>
      <c r="B7" s="18" t="inlineStr">
        <is>
          <t>Июнь</t>
        </is>
      </c>
      <c r="C7" s="19" t="n">
        <v>57.7</v>
      </c>
      <c r="D7" s="19" t="n">
        <v>122.9</v>
      </c>
      <c r="E7" s="20">
        <f>IF(C7=0,"—",D7/C7)</f>
        <v/>
      </c>
      <c r="F7" s="19" t="n">
        <v>95.8</v>
      </c>
      <c r="G7" s="20">
        <f>IF(C7=0,"—",F7/C7)</f>
        <v/>
      </c>
    </row>
    <row r="8">
      <c r="A8" t="inlineStr">
        <is>
          <t>Эльвира Аминева</t>
        </is>
      </c>
      <c r="B8" t="inlineStr">
        <is>
          <t>Июль</t>
        </is>
      </c>
      <c r="C8" s="17" t="n">
        <v>93.09999999999999</v>
      </c>
      <c r="D8" s="17" t="n">
        <v>86.59999999999999</v>
      </c>
      <c r="E8" s="8">
        <f>IF(C8=0,"—",D8/C8)</f>
        <v/>
      </c>
      <c r="F8" s="17" t="n">
        <v>77</v>
      </c>
      <c r="G8" s="8">
        <f>IF(C8=0,"—",F8/C8)</f>
        <v/>
      </c>
    </row>
    <row r="9">
      <c r="A9" t="inlineStr">
        <is>
          <t>Эльвира Аминева</t>
        </is>
      </c>
      <c r="B9" t="inlineStr">
        <is>
          <t>Август*</t>
        </is>
      </c>
      <c r="C9" s="17" t="n">
        <v>76.59999999999999</v>
      </c>
      <c r="D9" s="17" t="n">
        <v>75.90000000000001</v>
      </c>
      <c r="E9" s="8">
        <f>IF(C9=0,"—",D9/C9)</f>
        <v/>
      </c>
      <c r="F9" s="17" t="n">
        <v>51.7</v>
      </c>
      <c r="G9" s="8">
        <f>IF(C9=0,"—",F9/C9)</f>
        <v/>
      </c>
    </row>
    <row r="10">
      <c r="A10" t="inlineStr">
        <is>
          <t>Анна</t>
        </is>
      </c>
      <c r="B10" t="inlineStr">
        <is>
          <t>Июнь</t>
        </is>
      </c>
      <c r="C10" s="17" t="n">
        <v>176.2</v>
      </c>
      <c r="D10" s="17" t="n">
        <v>71.59999999999999</v>
      </c>
      <c r="E10" s="8">
        <f>IF(C10=0,"—",D10/C10)</f>
        <v/>
      </c>
      <c r="F10" s="17" t="n">
        <v>51.1</v>
      </c>
      <c r="G10" s="8">
        <f>IF(C10=0,"—",F10/C10)</f>
        <v/>
      </c>
    </row>
    <row r="11">
      <c r="A11" t="inlineStr">
        <is>
          <t>Анна</t>
        </is>
      </c>
      <c r="B11" t="inlineStr">
        <is>
          <t>Июль</t>
        </is>
      </c>
      <c r="C11" s="17" t="n">
        <v>157.8</v>
      </c>
      <c r="D11" s="17" t="n">
        <v>41.3</v>
      </c>
      <c r="E11" s="8">
        <f>IF(C11=0,"—",D11/C11)</f>
        <v/>
      </c>
      <c r="F11" s="17" t="n">
        <v>34.8</v>
      </c>
      <c r="G11" s="8">
        <f>IF(C11=0,"—",F11/C11)</f>
        <v/>
      </c>
    </row>
    <row r="12">
      <c r="A12" t="inlineStr">
        <is>
          <t>Анна</t>
        </is>
      </c>
      <c r="B12" t="inlineStr">
        <is>
          <t>Август*</t>
        </is>
      </c>
      <c r="C12" s="17" t="n">
        <v>46.8</v>
      </c>
      <c r="D12" s="17" t="n">
        <v>15.5</v>
      </c>
      <c r="E12" s="8">
        <f>IF(C12=0,"—",D12/C12)</f>
        <v/>
      </c>
      <c r="F12" s="17" t="n">
        <v>11.8</v>
      </c>
      <c r="G12" s="8">
        <f>IF(C12=0,"—",F12/C12)</f>
        <v/>
      </c>
    </row>
    <row r="13">
      <c r="A13" t="inlineStr">
        <is>
          <t>Влада</t>
        </is>
      </c>
      <c r="B13" t="inlineStr">
        <is>
          <t>Июнь</t>
        </is>
      </c>
      <c r="C13" s="17" t="n">
        <v>126.5</v>
      </c>
      <c r="D13" s="17" t="n">
        <v>90.8</v>
      </c>
      <c r="E13" s="8">
        <f>IF(C13=0,"—",D13/C13)</f>
        <v/>
      </c>
      <c r="F13" s="17" t="n">
        <v>73.5</v>
      </c>
      <c r="G13" s="8">
        <f>IF(C13=0,"—",F13/C13)</f>
        <v/>
      </c>
    </row>
    <row r="14">
      <c r="A14" t="inlineStr">
        <is>
          <t>Влада</t>
        </is>
      </c>
      <c r="B14" t="inlineStr">
        <is>
          <t>Июль</t>
        </is>
      </c>
      <c r="C14" s="17" t="n">
        <v>86</v>
      </c>
      <c r="D14" s="17" t="n">
        <v>55</v>
      </c>
      <c r="E14" s="8">
        <f>IF(C14=0,"—",D14/C14)</f>
        <v/>
      </c>
      <c r="F14" s="17" t="n">
        <v>50.2</v>
      </c>
      <c r="G14" s="8">
        <f>IF(C14=0,"—",F14/C14)</f>
        <v/>
      </c>
    </row>
    <row r="15">
      <c r="A15" t="inlineStr">
        <is>
          <t>Влада</t>
        </is>
      </c>
      <c r="B15" t="inlineStr">
        <is>
          <t>Август*</t>
        </is>
      </c>
      <c r="C15" s="17" t="n">
        <v>111.9</v>
      </c>
      <c r="D15" s="17" t="n">
        <v>74.3</v>
      </c>
      <c r="E15" s="8">
        <f>IF(C15=0,"—",D15/C15)</f>
        <v/>
      </c>
      <c r="F15" s="17" t="n">
        <v>49</v>
      </c>
      <c r="G15" s="8">
        <f>IF(C15=0,"—",F15/C15)</f>
        <v/>
      </c>
    </row>
    <row r="16">
      <c r="A16" t="inlineStr">
        <is>
          <t>Татьяна</t>
        </is>
      </c>
      <c r="B16" t="inlineStr">
        <is>
          <t>Июнь</t>
        </is>
      </c>
      <c r="C16" s="17" t="n">
        <v>135.3</v>
      </c>
      <c r="D16" s="17" t="n">
        <v>115.9</v>
      </c>
      <c r="E16" s="8">
        <f>IF(C16=0,"—",D16/C16)</f>
        <v/>
      </c>
      <c r="F16" s="17" t="n">
        <v>99</v>
      </c>
      <c r="G16" s="8">
        <f>IF(C16=0,"—",F16/C16)</f>
        <v/>
      </c>
    </row>
    <row r="17">
      <c r="A17" t="inlineStr">
        <is>
          <t>Татьяна</t>
        </is>
      </c>
      <c r="B17" t="inlineStr">
        <is>
          <t>Июль</t>
        </is>
      </c>
      <c r="C17" s="17" t="n">
        <v>143</v>
      </c>
      <c r="D17" s="17" t="n">
        <v>113.2</v>
      </c>
      <c r="E17" s="8">
        <f>IF(C17=0,"—",D17/C17)</f>
        <v/>
      </c>
      <c r="F17" s="17" t="n">
        <v>96.09999999999999</v>
      </c>
      <c r="G17" s="8">
        <f>IF(C17=0,"—",F17/C17)</f>
        <v/>
      </c>
    </row>
    <row r="18">
      <c r="A18" t="inlineStr">
        <is>
          <t>Татьяна</t>
        </is>
      </c>
      <c r="B18" t="inlineStr">
        <is>
          <t>Август*</t>
        </is>
      </c>
      <c r="C18" s="17" t="n">
        <v>0</v>
      </c>
      <c r="D18" s="17" t="n">
        <v>0</v>
      </c>
      <c r="E18" s="8">
        <f>IF(C18=0,"—",D18/C18)</f>
        <v/>
      </c>
      <c r="F18" s="17" t="n">
        <v>0</v>
      </c>
      <c r="G18" s="8">
        <f>IF(C18=0,"—",F18/C18)</f>
        <v/>
      </c>
    </row>
    <row r="20" ht="75" customHeight="1">
      <c r="A20" s="14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</row>
    <row r="22">
      <c r="A22" s="9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</row>
  </sheetData>
  <mergeCells count="3">
    <mergeCell ref="A20:G20"/>
    <mergeCell ref="A1:F1"/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2026-08-24T09:14:41Z</dcterms:modified>
</cp:coreProperties>
</file>